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.gorelskiy\Downloads\"/>
    </mc:Choice>
  </mc:AlternateContent>
  <xr:revisionPtr revIDLastSave="0" documentId="13_ncr:1_{B38F2270-1222-4486-9D3F-0277E594DC7D}" xr6:coauthVersionLast="47" xr6:coauthVersionMax="47" xr10:uidLastSave="{00000000-0000-0000-0000-000000000000}"/>
  <bookViews>
    <workbookView xWindow="-120" yWindow="-120" windowWidth="26040" windowHeight="21120" xr2:uid="{00000000-000D-0000-FFFF-FFFF00000000}"/>
  </bookViews>
  <sheets>
    <sheet name="Отдел Продаж МП  " sheetId="1" r:id="rId1"/>
    <sheet name="Свод для печати" sheetId="2" r:id="rId2"/>
    <sheet name="Расстояние между городами" sheetId="3" r:id="rId3"/>
    <sheet name="Инфо" sheetId="4" r:id="rId4"/>
    <sheet name="Суточные" sheetId="5" state="hidden" r:id="rId5"/>
  </sheets>
  <definedNames>
    <definedName name="_xlnm._FilterDatabase" localSheetId="3" hidden="1">Инфо!$A$1:$E$3</definedName>
    <definedName name="_xlnm._FilterDatabase" localSheetId="2" hidden="1">'Расстояние между городами'!$A$1:$D$587</definedName>
    <definedName name="_xlnm._FilterDatabase" localSheetId="1" hidden="1">'Свод для печати'!$A$1:$F$93</definedName>
    <definedName name="_xlnm._FilterDatabase" localSheetId="4" hidden="1">Суточные!$A$1:$C$14</definedName>
    <definedName name="Z_60527C34_A1EA_4DFE_985A_D006A87C66A5_.wvu.FilterData" localSheetId="3" hidden="1">Инфо!$A$1:$E$85</definedName>
    <definedName name="Z_60527C34_A1EA_4DFE_985A_D006A87C66A5_.wvu.FilterData" localSheetId="0" hidden="1">'Отдел Продаж МП  '!$A$1:$AJ$146</definedName>
  </definedNames>
  <calcPr calcId="191029"/>
  <customWorkbookViews>
    <customWorkbookView name="Фильтр 1" guid="{60527C34-A1EA-4DFE-985A-D006A87C66A5}" maximized="1" windowWidth="0" windowHeight="0" activeSheetId="0"/>
  </customWorkbookViews>
  <pivotCaches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1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48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I40" i="1" s="1"/>
  <c r="AG41" i="1"/>
  <c r="AG42" i="1"/>
  <c r="AG43" i="1"/>
  <c r="AG44" i="1"/>
  <c r="AG45" i="1"/>
  <c r="AG46" i="1"/>
  <c r="AG47" i="1"/>
  <c r="AG48" i="1"/>
  <c r="AI48" i="1" s="1"/>
  <c r="AG49" i="1"/>
  <c r="AG50" i="1"/>
  <c r="AG51" i="1"/>
  <c r="AG52" i="1"/>
  <c r="AG53" i="1"/>
  <c r="AG54" i="1"/>
  <c r="AG55" i="1"/>
  <c r="AI55" i="1" s="1"/>
  <c r="AG56" i="1"/>
  <c r="AI56" i="1" s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2" i="3"/>
  <c r="C491" i="3"/>
  <c r="C490" i="3"/>
  <c r="C489" i="3"/>
  <c r="C488" i="3"/>
  <c r="C487" i="3"/>
  <c r="C486" i="3"/>
  <c r="C485" i="3"/>
  <c r="C484" i="3"/>
  <c r="C483" i="3"/>
  <c r="C482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2" i="3"/>
  <c r="C201" i="3"/>
  <c r="C199" i="3"/>
  <c r="C198" i="3"/>
  <c r="C197" i="3"/>
  <c r="C195" i="3"/>
  <c r="C194" i="3"/>
  <c r="C193" i="3"/>
  <c r="C192" i="3"/>
  <c r="C191" i="3"/>
  <c r="C190" i="3"/>
  <c r="C189" i="3"/>
  <c r="C188" i="3"/>
  <c r="C187" i="3"/>
  <c r="C186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49" i="3"/>
  <c r="C148" i="3"/>
  <c r="C147" i="3"/>
  <c r="C146" i="3"/>
  <c r="C145" i="3"/>
  <c r="C144" i="3"/>
  <c r="C143" i="3"/>
  <c r="C142" i="3"/>
  <c r="C141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3" i="3"/>
  <c r="C62" i="3"/>
  <c r="C61" i="3"/>
  <c r="C60" i="3"/>
  <c r="C59" i="3"/>
  <c r="C54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H47" i="1" s="1"/>
  <c r="C5" i="3"/>
  <c r="C4" i="3"/>
  <c r="C3" i="3"/>
  <c r="C2" i="3"/>
  <c r="A1" i="2"/>
  <c r="H146" i="1"/>
  <c r="D146" i="1"/>
  <c r="C146" i="1"/>
  <c r="AH145" i="1"/>
  <c r="H145" i="1"/>
  <c r="E145" i="1"/>
  <c r="D145" i="1"/>
  <c r="C145" i="1"/>
  <c r="AH144" i="1"/>
  <c r="H144" i="1"/>
  <c r="E144" i="1"/>
  <c r="D144" i="1"/>
  <c r="C144" i="1"/>
  <c r="AH143" i="1"/>
  <c r="H143" i="1"/>
  <c r="E143" i="1"/>
  <c r="D143" i="1"/>
  <c r="C143" i="1"/>
  <c r="AH142" i="1"/>
  <c r="H142" i="1"/>
  <c r="E142" i="1"/>
  <c r="D142" i="1"/>
  <c r="C142" i="1"/>
  <c r="AH141" i="1"/>
  <c r="H141" i="1"/>
  <c r="E141" i="1"/>
  <c r="D141" i="1"/>
  <c r="C141" i="1"/>
  <c r="AH140" i="1"/>
  <c r="H140" i="1"/>
  <c r="E140" i="1"/>
  <c r="D140" i="1"/>
  <c r="C140" i="1"/>
  <c r="AH139" i="1"/>
  <c r="H139" i="1"/>
  <c r="E139" i="1"/>
  <c r="D139" i="1"/>
  <c r="C139" i="1"/>
  <c r="AH138" i="1"/>
  <c r="H138" i="1"/>
  <c r="E138" i="1"/>
  <c r="D138" i="1"/>
  <c r="C138" i="1"/>
  <c r="AH137" i="1"/>
  <c r="H137" i="1"/>
  <c r="E137" i="1"/>
  <c r="D137" i="1"/>
  <c r="C137" i="1"/>
  <c r="AH136" i="1"/>
  <c r="H136" i="1"/>
  <c r="E136" i="1"/>
  <c r="D136" i="1"/>
  <c r="C136" i="1"/>
  <c r="AH135" i="1"/>
  <c r="H135" i="1"/>
  <c r="E135" i="1"/>
  <c r="D135" i="1"/>
  <c r="C135" i="1"/>
  <c r="AH134" i="1"/>
  <c r="H134" i="1"/>
  <c r="E134" i="1"/>
  <c r="D134" i="1"/>
  <c r="C134" i="1"/>
  <c r="AH133" i="1"/>
  <c r="H133" i="1"/>
  <c r="E133" i="1"/>
  <c r="D133" i="1"/>
  <c r="C133" i="1"/>
  <c r="AH132" i="1"/>
  <c r="H132" i="1"/>
  <c r="E132" i="1"/>
  <c r="D132" i="1"/>
  <c r="C132" i="1"/>
  <c r="AH131" i="1"/>
  <c r="H131" i="1"/>
  <c r="E131" i="1"/>
  <c r="D131" i="1"/>
  <c r="C131" i="1"/>
  <c r="AH130" i="1"/>
  <c r="H130" i="1"/>
  <c r="E130" i="1"/>
  <c r="D130" i="1"/>
  <c r="C130" i="1"/>
  <c r="AH129" i="1"/>
  <c r="H129" i="1"/>
  <c r="E129" i="1"/>
  <c r="D129" i="1"/>
  <c r="C129" i="1"/>
  <c r="AH128" i="1"/>
  <c r="H128" i="1"/>
  <c r="E128" i="1"/>
  <c r="D128" i="1"/>
  <c r="C128" i="1"/>
  <c r="AH127" i="1"/>
  <c r="H127" i="1"/>
  <c r="E127" i="1"/>
  <c r="D127" i="1"/>
  <c r="C127" i="1"/>
  <c r="AH126" i="1"/>
  <c r="H126" i="1"/>
  <c r="E126" i="1"/>
  <c r="D126" i="1"/>
  <c r="C126" i="1"/>
  <c r="AH125" i="1"/>
  <c r="H125" i="1"/>
  <c r="E125" i="1"/>
  <c r="D125" i="1"/>
  <c r="C125" i="1"/>
  <c r="AH124" i="1"/>
  <c r="H124" i="1"/>
  <c r="E124" i="1"/>
  <c r="D124" i="1"/>
  <c r="C124" i="1"/>
  <c r="AH123" i="1"/>
  <c r="H123" i="1"/>
  <c r="E123" i="1"/>
  <c r="D123" i="1"/>
  <c r="C123" i="1"/>
  <c r="AH122" i="1"/>
  <c r="H122" i="1"/>
  <c r="E122" i="1"/>
  <c r="D122" i="1"/>
  <c r="C122" i="1"/>
  <c r="AH121" i="1"/>
  <c r="H121" i="1"/>
  <c r="E121" i="1"/>
  <c r="D121" i="1"/>
  <c r="C121" i="1"/>
  <c r="AH120" i="1"/>
  <c r="H120" i="1"/>
  <c r="E120" i="1"/>
  <c r="D120" i="1"/>
  <c r="C120" i="1"/>
  <c r="AH119" i="1"/>
  <c r="H119" i="1"/>
  <c r="E119" i="1"/>
  <c r="D119" i="1"/>
  <c r="C119" i="1"/>
  <c r="AH118" i="1"/>
  <c r="H118" i="1"/>
  <c r="E118" i="1"/>
  <c r="D118" i="1"/>
  <c r="C118" i="1"/>
  <c r="AH117" i="1"/>
  <c r="H117" i="1"/>
  <c r="E117" i="1"/>
  <c r="D117" i="1"/>
  <c r="C117" i="1"/>
  <c r="AH116" i="1"/>
  <c r="H116" i="1"/>
  <c r="E116" i="1"/>
  <c r="D116" i="1"/>
  <c r="C116" i="1"/>
  <c r="AH115" i="1"/>
  <c r="H115" i="1"/>
  <c r="E115" i="1"/>
  <c r="D115" i="1"/>
  <c r="C115" i="1"/>
  <c r="AH114" i="1"/>
  <c r="H114" i="1"/>
  <c r="E114" i="1"/>
  <c r="D114" i="1"/>
  <c r="C114" i="1"/>
  <c r="AH113" i="1"/>
  <c r="H113" i="1"/>
  <c r="E113" i="1"/>
  <c r="D113" i="1"/>
  <c r="C113" i="1"/>
  <c r="AH112" i="1"/>
  <c r="H112" i="1"/>
  <c r="E112" i="1"/>
  <c r="D112" i="1"/>
  <c r="C112" i="1"/>
  <c r="AH111" i="1"/>
  <c r="H111" i="1"/>
  <c r="E111" i="1"/>
  <c r="D111" i="1"/>
  <c r="C111" i="1"/>
  <c r="AH110" i="1"/>
  <c r="H110" i="1"/>
  <c r="E110" i="1"/>
  <c r="D110" i="1"/>
  <c r="C110" i="1"/>
  <c r="AH109" i="1"/>
  <c r="H109" i="1"/>
  <c r="E109" i="1"/>
  <c r="D109" i="1"/>
  <c r="C109" i="1"/>
  <c r="AH108" i="1"/>
  <c r="H108" i="1"/>
  <c r="E108" i="1"/>
  <c r="D108" i="1"/>
  <c r="C108" i="1"/>
  <c r="AH107" i="1"/>
  <c r="H107" i="1"/>
  <c r="E107" i="1"/>
  <c r="D107" i="1"/>
  <c r="C107" i="1"/>
  <c r="AH106" i="1"/>
  <c r="H106" i="1"/>
  <c r="E106" i="1"/>
  <c r="D106" i="1"/>
  <c r="C106" i="1"/>
  <c r="AH105" i="1"/>
  <c r="H105" i="1"/>
  <c r="E105" i="1"/>
  <c r="D105" i="1"/>
  <c r="C105" i="1"/>
  <c r="AH104" i="1"/>
  <c r="H104" i="1"/>
  <c r="E104" i="1"/>
  <c r="D104" i="1"/>
  <c r="C104" i="1"/>
  <c r="AH103" i="1"/>
  <c r="H103" i="1"/>
  <c r="E103" i="1"/>
  <c r="D103" i="1"/>
  <c r="C103" i="1"/>
  <c r="AH102" i="1"/>
  <c r="H102" i="1"/>
  <c r="E102" i="1"/>
  <c r="D102" i="1"/>
  <c r="C102" i="1"/>
  <c r="AH101" i="1"/>
  <c r="H101" i="1"/>
  <c r="E101" i="1"/>
  <c r="D101" i="1"/>
  <c r="C101" i="1"/>
  <c r="AH100" i="1"/>
  <c r="H100" i="1"/>
  <c r="E100" i="1"/>
  <c r="D100" i="1"/>
  <c r="C100" i="1"/>
  <c r="AH99" i="1"/>
  <c r="H99" i="1"/>
  <c r="E99" i="1"/>
  <c r="D99" i="1"/>
  <c r="C99" i="1"/>
  <c r="AH98" i="1"/>
  <c r="H98" i="1"/>
  <c r="E98" i="1"/>
  <c r="D98" i="1"/>
  <c r="C98" i="1"/>
  <c r="AH97" i="1"/>
  <c r="H97" i="1"/>
  <c r="E97" i="1"/>
  <c r="D97" i="1"/>
  <c r="C97" i="1"/>
  <c r="AH96" i="1"/>
  <c r="H96" i="1"/>
  <c r="E96" i="1"/>
  <c r="D96" i="1"/>
  <c r="C96" i="1"/>
  <c r="AH95" i="1"/>
  <c r="H95" i="1"/>
  <c r="E95" i="1"/>
  <c r="D95" i="1"/>
  <c r="C95" i="1"/>
  <c r="AH94" i="1"/>
  <c r="H94" i="1"/>
  <c r="E94" i="1"/>
  <c r="D94" i="1"/>
  <c r="C94" i="1"/>
  <c r="AH93" i="1"/>
  <c r="H93" i="1"/>
  <c r="E93" i="1"/>
  <c r="D93" i="1"/>
  <c r="C93" i="1"/>
  <c r="AH92" i="1"/>
  <c r="H92" i="1"/>
  <c r="E92" i="1"/>
  <c r="D92" i="1"/>
  <c r="C92" i="1"/>
  <c r="AH91" i="1"/>
  <c r="H91" i="1"/>
  <c r="E91" i="1"/>
  <c r="D91" i="1"/>
  <c r="C91" i="1"/>
  <c r="AH90" i="1"/>
  <c r="H90" i="1"/>
  <c r="E90" i="1"/>
  <c r="D90" i="1"/>
  <c r="C90" i="1"/>
  <c r="AH89" i="1"/>
  <c r="H89" i="1"/>
  <c r="E89" i="1"/>
  <c r="D89" i="1"/>
  <c r="C89" i="1"/>
  <c r="AH88" i="1"/>
  <c r="H88" i="1"/>
  <c r="E88" i="1"/>
  <c r="D88" i="1"/>
  <c r="C88" i="1"/>
  <c r="AH87" i="1"/>
  <c r="H87" i="1"/>
  <c r="E87" i="1"/>
  <c r="D87" i="1"/>
  <c r="C87" i="1"/>
  <c r="AH86" i="1"/>
  <c r="H86" i="1"/>
  <c r="E86" i="1"/>
  <c r="D86" i="1"/>
  <c r="C86" i="1"/>
  <c r="AH85" i="1"/>
  <c r="H85" i="1"/>
  <c r="E85" i="1"/>
  <c r="D85" i="1"/>
  <c r="C85" i="1"/>
  <c r="AH84" i="1"/>
  <c r="H84" i="1"/>
  <c r="E84" i="1"/>
  <c r="D84" i="1"/>
  <c r="C84" i="1"/>
  <c r="AH83" i="1"/>
  <c r="H83" i="1"/>
  <c r="E83" i="1"/>
  <c r="D83" i="1"/>
  <c r="C83" i="1"/>
  <c r="AH82" i="1"/>
  <c r="H82" i="1"/>
  <c r="E82" i="1"/>
  <c r="D82" i="1"/>
  <c r="C82" i="1"/>
  <c r="AH81" i="1"/>
  <c r="H81" i="1"/>
  <c r="E81" i="1"/>
  <c r="D81" i="1"/>
  <c r="C81" i="1"/>
  <c r="AH80" i="1"/>
  <c r="H80" i="1"/>
  <c r="E80" i="1"/>
  <c r="D80" i="1"/>
  <c r="C80" i="1"/>
  <c r="AH79" i="1"/>
  <c r="H79" i="1"/>
  <c r="E79" i="1"/>
  <c r="D79" i="1"/>
  <c r="C79" i="1"/>
  <c r="AH78" i="1"/>
  <c r="H78" i="1"/>
  <c r="E78" i="1"/>
  <c r="D78" i="1"/>
  <c r="C78" i="1"/>
  <c r="AH77" i="1"/>
  <c r="H77" i="1"/>
  <c r="E77" i="1"/>
  <c r="D77" i="1"/>
  <c r="C77" i="1"/>
  <c r="AH76" i="1"/>
  <c r="H76" i="1"/>
  <c r="E76" i="1"/>
  <c r="D76" i="1"/>
  <c r="C76" i="1"/>
  <c r="AH75" i="1"/>
  <c r="H75" i="1"/>
  <c r="E75" i="1"/>
  <c r="D75" i="1"/>
  <c r="C75" i="1"/>
  <c r="AH74" i="1"/>
  <c r="H74" i="1"/>
  <c r="E74" i="1"/>
  <c r="D74" i="1"/>
  <c r="C74" i="1"/>
  <c r="AH73" i="1"/>
  <c r="H73" i="1"/>
  <c r="E73" i="1"/>
  <c r="D73" i="1"/>
  <c r="C73" i="1"/>
  <c r="AH72" i="1"/>
  <c r="H72" i="1"/>
  <c r="E72" i="1"/>
  <c r="D72" i="1"/>
  <c r="C72" i="1"/>
  <c r="AH71" i="1"/>
  <c r="H71" i="1"/>
  <c r="E71" i="1"/>
  <c r="D71" i="1"/>
  <c r="C71" i="1"/>
  <c r="AH70" i="1"/>
  <c r="H70" i="1"/>
  <c r="E70" i="1"/>
  <c r="D70" i="1"/>
  <c r="C70" i="1"/>
  <c r="AH69" i="1"/>
  <c r="H69" i="1"/>
  <c r="E69" i="1"/>
  <c r="D69" i="1"/>
  <c r="C69" i="1"/>
  <c r="AH68" i="1"/>
  <c r="H68" i="1"/>
  <c r="E68" i="1"/>
  <c r="D68" i="1"/>
  <c r="C68" i="1"/>
  <c r="AH67" i="1"/>
  <c r="H67" i="1"/>
  <c r="E67" i="1"/>
  <c r="D67" i="1"/>
  <c r="C67" i="1"/>
  <c r="AH66" i="1"/>
  <c r="H66" i="1"/>
  <c r="E66" i="1"/>
  <c r="D66" i="1"/>
  <c r="C66" i="1"/>
  <c r="AH65" i="1"/>
  <c r="H65" i="1"/>
  <c r="E65" i="1"/>
  <c r="D65" i="1"/>
  <c r="C65" i="1"/>
  <c r="AH64" i="1"/>
  <c r="H64" i="1"/>
  <c r="E64" i="1"/>
  <c r="D64" i="1"/>
  <c r="C64" i="1"/>
  <c r="AH63" i="1"/>
  <c r="H63" i="1"/>
  <c r="E63" i="1"/>
  <c r="D63" i="1"/>
  <c r="C63" i="1"/>
  <c r="AH62" i="1"/>
  <c r="H62" i="1"/>
  <c r="E62" i="1"/>
  <c r="D62" i="1"/>
  <c r="C62" i="1"/>
  <c r="AH61" i="1"/>
  <c r="H61" i="1"/>
  <c r="E61" i="1"/>
  <c r="D61" i="1"/>
  <c r="C61" i="1"/>
  <c r="AH60" i="1"/>
  <c r="AI60" i="1"/>
  <c r="H60" i="1"/>
  <c r="E60" i="1"/>
  <c r="D60" i="1"/>
  <c r="C60" i="1"/>
  <c r="AH59" i="1"/>
  <c r="AI59" i="1"/>
  <c r="H59" i="1"/>
  <c r="E59" i="1"/>
  <c r="D59" i="1"/>
  <c r="C59" i="1"/>
  <c r="AH58" i="1"/>
  <c r="AI58" i="1"/>
  <c r="H58" i="1"/>
  <c r="E58" i="1"/>
  <c r="D58" i="1"/>
  <c r="C58" i="1"/>
  <c r="AH57" i="1"/>
  <c r="AI57" i="1"/>
  <c r="H57" i="1"/>
  <c r="E57" i="1"/>
  <c r="D57" i="1"/>
  <c r="C57" i="1"/>
  <c r="AH56" i="1"/>
  <c r="H56" i="1"/>
  <c r="E56" i="1"/>
  <c r="D56" i="1"/>
  <c r="C56" i="1"/>
  <c r="AH55" i="1"/>
  <c r="H55" i="1"/>
  <c r="E55" i="1"/>
  <c r="D55" i="1"/>
  <c r="C55" i="1"/>
  <c r="AH54" i="1"/>
  <c r="AI54" i="1"/>
  <c r="H54" i="1"/>
  <c r="E54" i="1"/>
  <c r="D54" i="1"/>
  <c r="C54" i="1"/>
  <c r="AH53" i="1"/>
  <c r="AI53" i="1"/>
  <c r="H53" i="1"/>
  <c r="E53" i="1"/>
  <c r="D53" i="1"/>
  <c r="C53" i="1"/>
  <c r="AH52" i="1"/>
  <c r="AI52" i="1"/>
  <c r="H52" i="1"/>
  <c r="E52" i="1"/>
  <c r="D52" i="1"/>
  <c r="C52" i="1"/>
  <c r="AH51" i="1"/>
  <c r="H51" i="1"/>
  <c r="E51" i="1"/>
  <c r="D51" i="1"/>
  <c r="C51" i="1"/>
  <c r="AH50" i="1"/>
  <c r="AI50" i="1"/>
  <c r="H50" i="1"/>
  <c r="E50" i="1"/>
  <c r="D50" i="1"/>
  <c r="C50" i="1"/>
  <c r="AH49" i="1"/>
  <c r="AI49" i="1"/>
  <c r="H49" i="1"/>
  <c r="E49" i="1"/>
  <c r="D49" i="1"/>
  <c r="C49" i="1"/>
  <c r="AH48" i="1"/>
  <c r="H48" i="1"/>
  <c r="E48" i="1"/>
  <c r="D48" i="1"/>
  <c r="C48" i="1"/>
  <c r="AH47" i="1"/>
  <c r="AI47" i="1"/>
  <c r="E47" i="1"/>
  <c r="D47" i="1"/>
  <c r="C47" i="1"/>
  <c r="AH46" i="1"/>
  <c r="AI46" i="1"/>
  <c r="E46" i="1"/>
  <c r="D46" i="1"/>
  <c r="C46" i="1"/>
  <c r="AH45" i="1"/>
  <c r="AI45" i="1"/>
  <c r="E45" i="1"/>
  <c r="D45" i="1"/>
  <c r="C45" i="1"/>
  <c r="AH44" i="1"/>
  <c r="AI44" i="1"/>
  <c r="E44" i="1"/>
  <c r="D44" i="1"/>
  <c r="C44" i="1"/>
  <c r="AH43" i="1"/>
  <c r="AI43" i="1"/>
  <c r="E43" i="1"/>
  <c r="D43" i="1"/>
  <c r="C43" i="1"/>
  <c r="AH42" i="1"/>
  <c r="E42" i="1"/>
  <c r="D42" i="1"/>
  <c r="C42" i="1"/>
  <c r="AH41" i="1"/>
  <c r="AI41" i="1"/>
  <c r="E41" i="1"/>
  <c r="D41" i="1"/>
  <c r="C41" i="1"/>
  <c r="AH40" i="1"/>
  <c r="E40" i="1"/>
  <c r="D40" i="1"/>
  <c r="C40" i="1"/>
  <c r="AH39" i="1"/>
  <c r="AI39" i="1"/>
  <c r="E39" i="1"/>
  <c r="D39" i="1"/>
  <c r="C39" i="1"/>
  <c r="AH38" i="1"/>
  <c r="AI38" i="1"/>
  <c r="E38" i="1"/>
  <c r="D38" i="1"/>
  <c r="C38" i="1"/>
  <c r="AH37" i="1"/>
  <c r="E37" i="1"/>
  <c r="D37" i="1"/>
  <c r="C37" i="1"/>
  <c r="AH36" i="1"/>
  <c r="AI36" i="1"/>
  <c r="D36" i="1"/>
  <c r="C36" i="1"/>
  <c r="AH35" i="1"/>
  <c r="H35" i="1"/>
  <c r="E35" i="1"/>
  <c r="D35" i="1"/>
  <c r="C35" i="1"/>
  <c r="AH34" i="1"/>
  <c r="H34" i="1"/>
  <c r="E34" i="1"/>
  <c r="D34" i="1"/>
  <c r="C34" i="1"/>
  <c r="AH33" i="1"/>
  <c r="H33" i="1"/>
  <c r="E33" i="1"/>
  <c r="D33" i="1"/>
  <c r="C33" i="1"/>
  <c r="AH32" i="1"/>
  <c r="H32" i="1"/>
  <c r="E32" i="1"/>
  <c r="D32" i="1"/>
  <c r="C32" i="1"/>
  <c r="AH31" i="1"/>
  <c r="H31" i="1"/>
  <c r="E31" i="1"/>
  <c r="D31" i="1"/>
  <c r="C31" i="1"/>
  <c r="AH30" i="1"/>
  <c r="H30" i="1"/>
  <c r="E30" i="1"/>
  <c r="D30" i="1"/>
  <c r="C30" i="1"/>
  <c r="AH29" i="1"/>
  <c r="H29" i="1"/>
  <c r="E29" i="1"/>
  <c r="D29" i="1"/>
  <c r="C29" i="1"/>
  <c r="AH28" i="1"/>
  <c r="H28" i="1"/>
  <c r="E28" i="1"/>
  <c r="D28" i="1"/>
  <c r="C28" i="1"/>
  <c r="AH27" i="1"/>
  <c r="H27" i="1"/>
  <c r="E27" i="1"/>
  <c r="D27" i="1"/>
  <c r="C27" i="1"/>
  <c r="AH26" i="1"/>
  <c r="H26" i="1"/>
  <c r="E26" i="1"/>
  <c r="D26" i="1"/>
  <c r="C26" i="1"/>
  <c r="AH25" i="1"/>
  <c r="H25" i="1"/>
  <c r="E25" i="1"/>
  <c r="D25" i="1"/>
  <c r="C25" i="1"/>
  <c r="AH24" i="1"/>
  <c r="AG24" i="1" s="1"/>
  <c r="H24" i="1"/>
  <c r="E24" i="1"/>
  <c r="D24" i="1"/>
  <c r="C24" i="1"/>
  <c r="AH23" i="1"/>
  <c r="AG23" i="1" s="1"/>
  <c r="H23" i="1"/>
  <c r="E23" i="1"/>
  <c r="D23" i="1"/>
  <c r="C23" i="1"/>
  <c r="AH22" i="1"/>
  <c r="AG22" i="1" s="1"/>
  <c r="H22" i="1"/>
  <c r="E22" i="1"/>
  <c r="D22" i="1"/>
  <c r="C22" i="1"/>
  <c r="AH21" i="1"/>
  <c r="AG21" i="1" s="1"/>
  <c r="H21" i="1"/>
  <c r="E21" i="1"/>
  <c r="D21" i="1"/>
  <c r="C21" i="1"/>
  <c r="AH20" i="1"/>
  <c r="AG20" i="1" s="1"/>
  <c r="H20" i="1"/>
  <c r="E20" i="1"/>
  <c r="D20" i="1"/>
  <c r="C20" i="1"/>
  <c r="AH19" i="1"/>
  <c r="AG19" i="1" s="1"/>
  <c r="H19" i="1"/>
  <c r="E19" i="1"/>
  <c r="D19" i="1"/>
  <c r="C19" i="1"/>
  <c r="AH18" i="1"/>
  <c r="AG18" i="1" s="1"/>
  <c r="H18" i="1"/>
  <c r="E18" i="1"/>
  <c r="D18" i="1"/>
  <c r="C18" i="1"/>
  <c r="AH17" i="1"/>
  <c r="AG17" i="1" s="1"/>
  <c r="H17" i="1"/>
  <c r="E17" i="1"/>
  <c r="D17" i="1"/>
  <c r="C17" i="1"/>
  <c r="AH16" i="1"/>
  <c r="AG16" i="1" s="1"/>
  <c r="H16" i="1"/>
  <c r="E16" i="1"/>
  <c r="D16" i="1"/>
  <c r="C16" i="1"/>
  <c r="AH15" i="1"/>
  <c r="AG15" i="1" s="1"/>
  <c r="H15" i="1"/>
  <c r="E15" i="1"/>
  <c r="D15" i="1"/>
  <c r="C15" i="1"/>
  <c r="AH14" i="1"/>
  <c r="AG14" i="1" s="1"/>
  <c r="H14" i="1"/>
  <c r="E14" i="1"/>
  <c r="D14" i="1"/>
  <c r="C14" i="1"/>
  <c r="AH13" i="1"/>
  <c r="AG13" i="1" s="1"/>
  <c r="H13" i="1"/>
  <c r="E13" i="1"/>
  <c r="D13" i="1"/>
  <c r="C13" i="1"/>
  <c r="AH12" i="1"/>
  <c r="AG12" i="1" s="1"/>
  <c r="H12" i="1"/>
  <c r="E12" i="1"/>
  <c r="D12" i="1"/>
  <c r="C12" i="1"/>
  <c r="AH11" i="1"/>
  <c r="AG11" i="1" s="1"/>
  <c r="H11" i="1"/>
  <c r="E11" i="1"/>
  <c r="D11" i="1"/>
  <c r="C11" i="1"/>
  <c r="AH10" i="1"/>
  <c r="AG10" i="1" s="1"/>
  <c r="H10" i="1"/>
  <c r="E10" i="1"/>
  <c r="D10" i="1"/>
  <c r="C10" i="1"/>
  <c r="AH9" i="1"/>
  <c r="AG9" i="1" s="1"/>
  <c r="H9" i="1"/>
  <c r="E9" i="1"/>
  <c r="D9" i="1"/>
  <c r="C9" i="1"/>
  <c r="AH8" i="1"/>
  <c r="AG8" i="1" s="1"/>
  <c r="H8" i="1"/>
  <c r="E8" i="1"/>
  <c r="D8" i="1"/>
  <c r="C8" i="1"/>
  <c r="AH7" i="1"/>
  <c r="AG7" i="1" s="1"/>
  <c r="H7" i="1"/>
  <c r="E7" i="1"/>
  <c r="D7" i="1"/>
  <c r="C7" i="1"/>
  <c r="AH6" i="1"/>
  <c r="AG6" i="1" s="1"/>
  <c r="H6" i="1"/>
  <c r="E6" i="1"/>
  <c r="D6" i="1"/>
  <c r="C6" i="1"/>
  <c r="AH5" i="1"/>
  <c r="AG5" i="1" s="1"/>
  <c r="H5" i="1"/>
  <c r="E5" i="1"/>
  <c r="D5" i="1"/>
  <c r="C5" i="1"/>
  <c r="AH4" i="1"/>
  <c r="AG4" i="1" s="1"/>
  <c r="H4" i="1"/>
  <c r="E4" i="1"/>
  <c r="D4" i="1"/>
  <c r="C4" i="1"/>
  <c r="AH3" i="1"/>
  <c r="AG3" i="1" s="1"/>
  <c r="H3" i="1"/>
  <c r="E3" i="1"/>
  <c r="D3" i="1"/>
  <c r="C3" i="1"/>
  <c r="AH2" i="1"/>
  <c r="AG2" i="1" s="1"/>
  <c r="H2" i="1"/>
  <c r="E2" i="1"/>
  <c r="D2" i="1"/>
  <c r="C2" i="1"/>
  <c r="AI2" i="1" l="1"/>
  <c r="AI10" i="1"/>
  <c r="AI18" i="1"/>
  <c r="AI30" i="1"/>
  <c r="AI35" i="1"/>
  <c r="AI20" i="1"/>
  <c r="AI7" i="1"/>
  <c r="AI15" i="1"/>
  <c r="AI23" i="1"/>
  <c r="AI4" i="1"/>
  <c r="AI12" i="1"/>
  <c r="AI32" i="1"/>
  <c r="AI17" i="1"/>
  <c r="AI6" i="1"/>
  <c r="AI14" i="1"/>
  <c r="AI22" i="1"/>
  <c r="AI34" i="1"/>
  <c r="AI11" i="1"/>
  <c r="AI31" i="1"/>
  <c r="AI8" i="1"/>
  <c r="AI16" i="1"/>
  <c r="AI24" i="1"/>
  <c r="AI9" i="1"/>
  <c r="AI3" i="1"/>
  <c r="AI19" i="1"/>
  <c r="AI28" i="1"/>
  <c r="AI5" i="1"/>
  <c r="AI13" i="1"/>
  <c r="AI21" i="1"/>
  <c r="AI33" i="1"/>
  <c r="AI61" i="1"/>
  <c r="AI65" i="1"/>
  <c r="AI69" i="1"/>
  <c r="AI73" i="1"/>
  <c r="AI77" i="1"/>
  <c r="AI81" i="1"/>
  <c r="AI85" i="1"/>
  <c r="AI89" i="1"/>
  <c r="AI93" i="1"/>
  <c r="AI97" i="1"/>
  <c r="AI101" i="1"/>
  <c r="AI105" i="1"/>
  <c r="AI109" i="1"/>
  <c r="AI113" i="1"/>
  <c r="AI117" i="1"/>
  <c r="AI121" i="1"/>
  <c r="AI125" i="1"/>
  <c r="AI129" i="1"/>
  <c r="AI133" i="1"/>
  <c r="AI137" i="1"/>
  <c r="AI141" i="1"/>
  <c r="AI37" i="1"/>
  <c r="AI42" i="1"/>
  <c r="AI51" i="1"/>
  <c r="AI64" i="1"/>
  <c r="AI68" i="1"/>
  <c r="AI84" i="1"/>
  <c r="AI96" i="1"/>
  <c r="AI100" i="1"/>
  <c r="AI104" i="1"/>
  <c r="AI112" i="1"/>
  <c r="AI116" i="1"/>
  <c r="AI124" i="1"/>
  <c r="AI128" i="1"/>
  <c r="AI25" i="1"/>
  <c r="AI26" i="1"/>
  <c r="AI27" i="1"/>
  <c r="AI29" i="1"/>
  <c r="AI72" i="1"/>
  <c r="AI76" i="1"/>
  <c r="AI80" i="1"/>
  <c r="AI88" i="1"/>
  <c r="AI92" i="1"/>
  <c r="AI108" i="1"/>
  <c r="AI120" i="1"/>
  <c r="AI132" i="1"/>
  <c r="AI136" i="1"/>
  <c r="AI140" i="1"/>
  <c r="AI144" i="1"/>
  <c r="AI63" i="1"/>
  <c r="AI67" i="1"/>
  <c r="AI71" i="1"/>
  <c r="AI75" i="1"/>
  <c r="AI79" i="1"/>
  <c r="AI83" i="1"/>
  <c r="AI87" i="1"/>
  <c r="AI91" i="1"/>
  <c r="AI95" i="1"/>
  <c r="AI99" i="1"/>
  <c r="AI103" i="1"/>
  <c r="AI107" i="1"/>
  <c r="AI111" i="1"/>
  <c r="AI115" i="1"/>
  <c r="AI119" i="1"/>
  <c r="AI123" i="1"/>
  <c r="AI127" i="1"/>
  <c r="AI131" i="1"/>
  <c r="AI135" i="1"/>
  <c r="AI139" i="1"/>
  <c r="AI143" i="1"/>
  <c r="AI62" i="1"/>
  <c r="AI66" i="1"/>
  <c r="AI70" i="1"/>
  <c r="AI74" i="1"/>
  <c r="AI78" i="1"/>
  <c r="AI82" i="1"/>
  <c r="AI86" i="1"/>
  <c r="AI90" i="1"/>
  <c r="AI94" i="1"/>
  <c r="AI98" i="1"/>
  <c r="AI102" i="1"/>
  <c r="AI106" i="1"/>
  <c r="AI110" i="1"/>
  <c r="AI114" i="1"/>
  <c r="AI118" i="1"/>
  <c r="AI122" i="1"/>
  <c r="AI126" i="1"/>
  <c r="AI130" i="1"/>
  <c r="AI134" i="1"/>
  <c r="AI138" i="1"/>
  <c r="AI142" i="1"/>
  <c r="H36" i="1"/>
  <c r="H37" i="1"/>
  <c r="H38" i="1"/>
  <c r="H39" i="1"/>
  <c r="H40" i="1"/>
  <c r="H41" i="1"/>
  <c r="H42" i="1"/>
  <c r="H43" i="1"/>
  <c r="H44" i="1"/>
  <c r="H45" i="1"/>
  <c r="H46" i="1"/>
  <c r="AI145" i="1"/>
  <c r="AJ146" i="1" l="1"/>
</calcChain>
</file>

<file path=xl/sharedStrings.xml><?xml version="1.0" encoding="utf-8"?>
<sst xmlns="http://schemas.openxmlformats.org/spreadsheetml/2006/main" count="1828" uniqueCount="763">
  <si>
    <t>Фамилия Имя</t>
  </si>
  <si>
    <t>Регион</t>
  </si>
  <si>
    <t>Должность</t>
  </si>
  <si>
    <t>Срок командировки</t>
  </si>
  <si>
    <t>Транспорт (Авиа, Ж/д, авто)</t>
  </si>
  <si>
    <t>Город проживания-Город командировок-Город проживания</t>
  </si>
  <si>
    <t>КМ</t>
  </si>
  <si>
    <t>Кол-во аптек (для МП)</t>
  </si>
  <si>
    <t>согласование от РД</t>
  </si>
  <si>
    <t>согласование от ДП</t>
  </si>
  <si>
    <t>Цель</t>
  </si>
  <si>
    <t>Действие</t>
  </si>
  <si>
    <t>Ожидаемый Результат</t>
  </si>
  <si>
    <t>Число отправления из города</t>
  </si>
  <si>
    <t>Время отправления из города</t>
  </si>
  <si>
    <t>Число прибытия в командировочный город</t>
  </si>
  <si>
    <t>Время прибытия в командировочный город</t>
  </si>
  <si>
    <t>Число убытия из командировочного города</t>
  </si>
  <si>
    <t>Время убытия из командировочного города</t>
  </si>
  <si>
    <t>Число прибытия в город</t>
  </si>
  <si>
    <t>Время прибытия в город</t>
  </si>
  <si>
    <t>Комментарии</t>
  </si>
  <si>
    <t>Заказ гостиницы Да/Нет</t>
  </si>
  <si>
    <t>Город командировки</t>
  </si>
  <si>
    <t>Название гостиницы</t>
  </si>
  <si>
    <t>Ссылка для выбора гостиниц</t>
  </si>
  <si>
    <t>Заказ Билетов Да/Нет</t>
  </si>
  <si>
    <t>Город(а)</t>
  </si>
  <si>
    <t>Ориентировочное время - когда надо ехать (туда)</t>
  </si>
  <si>
    <t>Ориентировочное время - когда надо ехать (обратно)</t>
  </si>
  <si>
    <t>Дней</t>
  </si>
  <si>
    <t>ночи</t>
  </si>
  <si>
    <t>суточные (норма)</t>
  </si>
  <si>
    <t>Итог суточные</t>
  </si>
  <si>
    <t>Кузнецова Марина Борисовна</t>
  </si>
  <si>
    <t>авто</t>
  </si>
  <si>
    <t>Иркутск - Ангарск - Усолье-Сибирское - Иркутск</t>
  </si>
  <si>
    <t>Согласовано</t>
  </si>
  <si>
    <t>выполнение плана 4Q</t>
  </si>
  <si>
    <t>Иркутск - Шелехов - Иркутск</t>
  </si>
  <si>
    <t>Иркутск - Хомутово-Урик - Иркутск</t>
  </si>
  <si>
    <t>Чураева Марина Олеговна</t>
  </si>
  <si>
    <t>Пенза - Саранск - Пенза</t>
  </si>
  <si>
    <t>Шарыпов Александр Александрович</t>
  </si>
  <si>
    <t>Новосибирск - Искитим - Линёво - Новосибирск</t>
  </si>
  <si>
    <t>Новосибирск - Бердск - Новосибирск</t>
  </si>
  <si>
    <t>Молчанова Надежда Николаевна</t>
  </si>
  <si>
    <t>Барнаул - Бийск - Барнаул</t>
  </si>
  <si>
    <t>Ласточкина Наталья Михайловна</t>
  </si>
  <si>
    <t>Чебоксары - Канаш - Чебоксары</t>
  </si>
  <si>
    <t>Чебоксары - Йошкар-Ола - Чебоксары</t>
  </si>
  <si>
    <t>Лысова Ольга Павловна</t>
  </si>
  <si>
    <t>Кемерово- Белово- Ленинск-Кузнецкий-Кемерово</t>
  </si>
  <si>
    <t>посещение аптек  АКБ</t>
  </si>
  <si>
    <t>Да</t>
  </si>
  <si>
    <t>Белово</t>
  </si>
  <si>
    <t>Астра</t>
  </si>
  <si>
    <t>Золотухина Елена Владимировна</t>
  </si>
  <si>
    <t>Оренбург - Соль-Илецк - Оренбург</t>
  </si>
  <si>
    <t>Оренбург - Саракташ - Оренбург</t>
  </si>
  <si>
    <t>Оренбург - Сорочинск- Бузулук - Оренбург</t>
  </si>
  <si>
    <t>да</t>
  </si>
  <si>
    <t>Бузулук</t>
  </si>
  <si>
    <t>Оренбург - Пос. Каргала- Переволоцкий-Новосергиевка - Оренбург</t>
  </si>
  <si>
    <t>Оренбург - Сакмара - Октябрьское - Оренбург</t>
  </si>
  <si>
    <t>Ермолаева Наталья Николаевна</t>
  </si>
  <si>
    <t>Самара - Жигулёвск - Самара</t>
  </si>
  <si>
    <t>Самара - Тольятти - Самара</t>
  </si>
  <si>
    <t>Сабурова Ирина Андреевна</t>
  </si>
  <si>
    <t>Екатеринбург - Большое Седельниково-Первомайский-Октябрьский-Кашино-Сысерть-Щелкун-Бобровский - Екатеринбург</t>
  </si>
  <si>
    <t>Подсевалов Павел Валерьевич</t>
  </si>
  <si>
    <t>Новокузнецк - Осинники - Калтан - Новокузнецк</t>
  </si>
  <si>
    <t>Новокузнецк - Междуреченск - Мыски - Новокузнецк</t>
  </si>
  <si>
    <t>Новокузнецк - Киселёвск - Новокузнецк</t>
  </si>
  <si>
    <t>Новокузнецк - Киселёвск - Прокопьевск - Новокузнецк</t>
  </si>
  <si>
    <t>Новокузнецк - Междуреченск - Новокузнецк</t>
  </si>
  <si>
    <t>Усачева Светлана Вадимовна</t>
  </si>
  <si>
    <t>Вологда - Череповец - Вологда</t>
  </si>
  <si>
    <t>Вологда - Шексна - Череповец - Вологда</t>
  </si>
  <si>
    <t xml:space="preserve"> </t>
  </si>
  <si>
    <t>Общий итог:</t>
  </si>
  <si>
    <t xml:space="preserve">  Итог суточные,руб.</t>
  </si>
  <si>
    <t>Сибирский</t>
  </si>
  <si>
    <t>12 декабря</t>
  </si>
  <si>
    <t>22 декабря</t>
  </si>
  <si>
    <t>23 декабря</t>
  </si>
  <si>
    <t>26 декабря</t>
  </si>
  <si>
    <t>8 декабря</t>
  </si>
  <si>
    <t>9 декабря</t>
  </si>
  <si>
    <t>22-23 декабря</t>
  </si>
  <si>
    <t>8-9 декабря</t>
  </si>
  <si>
    <t>9-11 декабря</t>
  </si>
  <si>
    <t>Город базирования</t>
  </si>
  <si>
    <t>Город назначения</t>
  </si>
  <si>
    <t>маршрут</t>
  </si>
  <si>
    <t>Км туда и обратно</t>
  </si>
  <si>
    <t>Архангельск</t>
  </si>
  <si>
    <t>Новодвинск</t>
  </si>
  <si>
    <t>Северодвинск</t>
  </si>
  <si>
    <t>Балашиха</t>
  </si>
  <si>
    <t>Воскресенск</t>
  </si>
  <si>
    <t>Шатура</t>
  </si>
  <si>
    <t>Барнаул</t>
  </si>
  <si>
    <t>Заринск</t>
  </si>
  <si>
    <t>Бийск</t>
  </si>
  <si>
    <t>Бийск - Заринск</t>
  </si>
  <si>
    <t>Новоалтайск</t>
  </si>
  <si>
    <t>Белгород</t>
  </si>
  <si>
    <t>Борисовка</t>
  </si>
  <si>
    <t>Борисовка -Томаровка</t>
  </si>
  <si>
    <t>Ивня - Ракитное</t>
  </si>
  <si>
    <t>Ивня</t>
  </si>
  <si>
    <t>Маслова пристань - Шебекино - Разумное</t>
  </si>
  <si>
    <t>Новая Таволжанка - Шебекино - Маслова Пристань - Разумное</t>
  </si>
  <si>
    <t xml:space="preserve">Прохоровка </t>
  </si>
  <si>
    <t>Старый Оскол</t>
  </si>
  <si>
    <t>Губкин - Старый Оскол</t>
  </si>
  <si>
    <t>Строитель - Прохоровка</t>
  </si>
  <si>
    <t>Брянск</t>
  </si>
  <si>
    <t>Белые Берега - Карачев</t>
  </si>
  <si>
    <t>Выгоничи - Жирятино - Жуковка</t>
  </si>
  <si>
    <t>Выгоничи - Жирятино - Клетня - Жуковка</t>
  </si>
  <si>
    <t>Выгоничи - Клетня - Жуковка</t>
  </si>
  <si>
    <t>Выгоничи - Трубчевск - Суземка - Комаричи - Навля</t>
  </si>
  <si>
    <t>Жирятино - Жуковка - Клетня</t>
  </si>
  <si>
    <t>Дятьково - Фокино</t>
  </si>
  <si>
    <t>Навля - Суземка - Трубчевск</t>
  </si>
  <si>
    <t>Погар - Почеп</t>
  </si>
  <si>
    <t xml:space="preserve">Суземка - Трубчевск </t>
  </si>
  <si>
    <t>Жуковка - Выгоничи</t>
  </si>
  <si>
    <t>Суземка - Трубчевск - Навля</t>
  </si>
  <si>
    <t>Суземка - Трубчевск - Навля - Комаричи</t>
  </si>
  <si>
    <t>Видное</t>
  </si>
  <si>
    <t>Михнево - Ступино - Кашира</t>
  </si>
  <si>
    <t>Подольск - Чехов - Серпухов</t>
  </si>
  <si>
    <t>Серпухов - Кашира</t>
  </si>
  <si>
    <t>Ступино - Кашира</t>
  </si>
  <si>
    <t>Владивосток</t>
  </si>
  <si>
    <t>Уссурийск</t>
  </si>
  <si>
    <t>Владимир</t>
  </si>
  <si>
    <t>Александров</t>
  </si>
  <si>
    <t>Александров - Балакирево - Карабаново - Струнино</t>
  </si>
  <si>
    <t>Гусь-Хрустальный</t>
  </si>
  <si>
    <t>Иваново</t>
  </si>
  <si>
    <t>Киржач</t>
  </si>
  <si>
    <t>Ковров</t>
  </si>
  <si>
    <t>Ковров - Камешково</t>
  </si>
  <si>
    <t>Муром</t>
  </si>
  <si>
    <t>Юрьев - Польский</t>
  </si>
  <si>
    <t>Волгоград</t>
  </si>
  <si>
    <t>Волжский</t>
  </si>
  <si>
    <t>Вологда</t>
  </si>
  <si>
    <t>Череповец</t>
  </si>
  <si>
    <t>Шексна - Череповец</t>
  </si>
  <si>
    <t>Воронеж</t>
  </si>
  <si>
    <t>Стрелица-Хохольский-Латная-Семилуки-Воронеж-Землянск</t>
  </si>
  <si>
    <t>Воронеж-Стрелица-Хохольский-Латная-Семилуки-Землянск-Воронеж.</t>
  </si>
  <si>
    <t>Стрелица-Хохольский-Латная-Семилуки-Воронеж</t>
  </si>
  <si>
    <t xml:space="preserve"> Воронеж-Стрелица-Хохольский-Латная-Семилуки-Воронеж</t>
  </si>
  <si>
    <t>Анна-Садовое-Воронеж</t>
  </si>
  <si>
    <t>Воронеж-Анна-Воронеж</t>
  </si>
  <si>
    <t>Анна-Эртиль</t>
  </si>
  <si>
    <t>Воронеж-Анна-Эртиль-Воронеж.</t>
  </si>
  <si>
    <t>Анна - Новохопёрск</t>
  </si>
  <si>
    <t>Таловая-Бутурлиновка-Воробьевка-Калач-Воронеж</t>
  </si>
  <si>
    <t xml:space="preserve"> Воронеж-Таловая-Бутурлиновка-Воробьевка-Калач-Воронеж</t>
  </si>
  <si>
    <t>Стрелица-Хохольский-Латная-Семилуки-Землянск</t>
  </si>
  <si>
    <t>Чертовицы-ВНИИСС-Рамонь-Ямное-Воронеж</t>
  </si>
  <si>
    <t xml:space="preserve"> Воронеж-Чертовицы-ВНИИСС-Рамонь-Ямное-Воронеж</t>
  </si>
  <si>
    <t>Воронеж-Новая Усмань-Орлово-Воронеж</t>
  </si>
  <si>
    <t xml:space="preserve"> Воронеж-Новая Усмань-Орлово-Воронеж.</t>
  </si>
  <si>
    <t>Анна - Садовое - Новохопёрск</t>
  </si>
  <si>
    <t>Бутурлиновка - Калач</t>
  </si>
  <si>
    <t>Девица - Стрелица - Хохольский - Латная - Семилуки</t>
  </si>
  <si>
    <t>Лиски</t>
  </si>
  <si>
    <t>Нововоронеж</t>
  </si>
  <si>
    <t>Нововоронеж-Новая Усмань-Орлово</t>
  </si>
  <si>
    <t>Воронеж-Нововоронеж-Новая Усмань-Орлово-Воронеж.</t>
  </si>
  <si>
    <t>Новая Усмань</t>
  </si>
  <si>
    <r>
      <rPr>
        <sz val="9"/>
        <color rgb="FF000000"/>
        <rFont val="Arial Narrow"/>
      </rPr>
      <t>Новая Усмань - Орлово -</t>
    </r>
    <r>
      <rPr>
        <b/>
        <sz val="9"/>
        <color rgb="FF000000"/>
        <rFont val="Arial Narrow"/>
      </rPr>
      <t xml:space="preserve"> </t>
    </r>
    <r>
      <rPr>
        <sz val="9"/>
        <color rgb="FF000000"/>
        <rFont val="Arial Narrow"/>
      </rPr>
      <t>Воля</t>
    </r>
  </si>
  <si>
    <t>Рамонь</t>
  </si>
  <si>
    <t>Солнечный - ВНИИСС - Рамонь - Новоживотинное - Ямное</t>
  </si>
  <si>
    <t>Семилуки - Хохольский</t>
  </si>
  <si>
    <t>Острогожск</t>
  </si>
  <si>
    <t>Хреновое - Таловая - Бутурлиновка - Воробьевка - Калач</t>
  </si>
  <si>
    <t>Егорьевск</t>
  </si>
  <si>
    <t>Москва</t>
  </si>
  <si>
    <t>Ногинск</t>
  </si>
  <si>
    <t>Орехово-Зуево</t>
  </si>
  <si>
    <t>Раменское - Жуковский - Москва ЦО</t>
  </si>
  <si>
    <t>Раменское - Жуковский</t>
  </si>
  <si>
    <t>Екатеринбург</t>
  </si>
  <si>
    <t>Асбест</t>
  </si>
  <si>
    <t>Асбест - Богданович</t>
  </si>
  <si>
    <t>Артёмовский - Буланаш - Ирбит - Туринск- Алапаевск</t>
  </si>
  <si>
    <t>Асбест - Богданович - Белоярский</t>
  </si>
  <si>
    <t>Артёмовский - Ирбит - Синячиха - Алапаевск</t>
  </si>
  <si>
    <t>Артёмовский - Ирбит - Алапаевск</t>
  </si>
  <si>
    <t>Артемовский - Ирбит - В.Синячиха - Реж</t>
  </si>
  <si>
    <t>Артемовский - Ирбит -Туринск - В.Синячиха - Алапаевск</t>
  </si>
  <si>
    <t>Артемовский - Ирбит -Туринск - Алапаевск</t>
  </si>
  <si>
    <t>Артемовский - Ирбит - Байкалово - В.Синячиха - Алапаевск</t>
  </si>
  <si>
    <t>Бисерть - Ачит - Красноуфимск - Арти - Михайловск - Н.Серги</t>
  </si>
  <si>
    <t>Ачит - Красноуфимск - Михайловск - Н.Серги - В.Серги</t>
  </si>
  <si>
    <t>Ачит - Красноуфимск - Арти - Михайловск - Н.Серги - В.Серги</t>
  </si>
  <si>
    <t>Бобровский</t>
  </si>
  <si>
    <t>Бобровский - Сысерть</t>
  </si>
  <si>
    <t>Бисерть - Ачит - Красноуфимск - Арти - Михайловск - Н.Серги - В.Серги</t>
  </si>
  <si>
    <t>Ачит - Красноуфимск - Михайловск - Новая Ельня - Н.Серги - В.Серги</t>
  </si>
  <si>
    <t>Горный Щит - Бобровский</t>
  </si>
  <si>
    <t>Нижний Тагил- Верхняя Салда-Алапаевск-Верхняя Синячиха-Артемовский-Буланаш</t>
  </si>
  <si>
    <t>Каменск-Уральский</t>
  </si>
  <si>
    <t>Курган</t>
  </si>
  <si>
    <t>Нижний Тагил</t>
  </si>
  <si>
    <t>Нижний Тагил - Верхняя Салда</t>
  </si>
  <si>
    <t>Нижний Тагил - Верхняя Салда - Нижняя Салда</t>
  </si>
  <si>
    <t>Нижний Тагил - Верхняя Салда - Верхняя Синячиха - Алапаевск - Артемовский - Буланаш</t>
  </si>
  <si>
    <t>Первоуральск</t>
  </si>
  <si>
    <t>Пермь</t>
  </si>
  <si>
    <t>Полевской</t>
  </si>
  <si>
    <t>Ревда</t>
  </si>
  <si>
    <t>Ревда - Полевской</t>
  </si>
  <si>
    <t>Первоуральск - Билимбай - Ревда</t>
  </si>
  <si>
    <t>Первоуральск - Билимбай - Ревда - Дегтярск</t>
  </si>
  <si>
    <t>Первоуральск - Билимбай - Дегтярск</t>
  </si>
  <si>
    <t>Первоуральск - Билимбай - Новоуткинск - Ревда</t>
  </si>
  <si>
    <t>Первоуральск - Билимбай - Новоуткинск</t>
  </si>
  <si>
    <t>Первоуральск - Билимбай - Шаля</t>
  </si>
  <si>
    <t>Первоуральск - Шаля</t>
  </si>
  <si>
    <t>Реж</t>
  </si>
  <si>
    <t>Реж - Алапаевск - Верхняя Синячиха - Артемовский</t>
  </si>
  <si>
    <t>Реж - Алапаевск - Верхняя Синячиха - Артемовский - Буланаш</t>
  </si>
  <si>
    <t>Самара - Саратов</t>
  </si>
  <si>
    <t>Сысерть</t>
  </si>
  <si>
    <t>Сысерть - Арамиль</t>
  </si>
  <si>
    <t>Тюмень</t>
  </si>
  <si>
    <t>Уфа</t>
  </si>
  <si>
    <t>Уфа - Казань - Ижевск - Пермь</t>
  </si>
  <si>
    <t>Уфа - Оренбург</t>
  </si>
  <si>
    <t>Уфа - Самара - Пенза</t>
  </si>
  <si>
    <t>Челябинск</t>
  </si>
  <si>
    <t>Челябинск - Златоуст</t>
  </si>
  <si>
    <t>Челябинск - Златоуст - Миасс</t>
  </si>
  <si>
    <t>Шаля</t>
  </si>
  <si>
    <t>Большое Седельниково-Первомайский-Октябрьский-Кашино-Сысерть-Щелкун-Бобровский</t>
  </si>
  <si>
    <t>Ессентуки</t>
  </si>
  <si>
    <t>Георгиевск - Георгиевская - Александрийская - Краснокумскоес - Обильное - Зеленокумск</t>
  </si>
  <si>
    <t>Винсады - Лермонтов - Железноводск - Иноземцево</t>
  </si>
  <si>
    <t>Минеральные воды</t>
  </si>
  <si>
    <t>Кисловодск</t>
  </si>
  <si>
    <t>Пятигорск -  Горячеводский</t>
  </si>
  <si>
    <t>Минеральные воды - Красный пахарь - Побегайловка - Анджиевский - Левокумка - Новотерский - Змейка - Пятигорский</t>
  </si>
  <si>
    <t>Черкесск-Усть-Джегута</t>
  </si>
  <si>
    <t>Ессентуки-Черкесск-Усть-Джегута-Ессентуки</t>
  </si>
  <si>
    <t>Ижевск</t>
  </si>
  <si>
    <t>Агрыз</t>
  </si>
  <si>
    <t>Воткинск</t>
  </si>
  <si>
    <t>Глазов</t>
  </si>
  <si>
    <t>Глазов - Красногорское</t>
  </si>
  <si>
    <t>Игра - Дебёсы - Балезино - Глазов - Красногорское</t>
  </si>
  <si>
    <t>Можга - Алнаши</t>
  </si>
  <si>
    <t>Сарапул</t>
  </si>
  <si>
    <t>Чебоксары</t>
  </si>
  <si>
    <t>Иркутск</t>
  </si>
  <si>
    <t>Ангарск</t>
  </si>
  <si>
    <t>Хомутово-Урик</t>
  </si>
  <si>
    <t>Ангарск - Усолье-Сибирское</t>
  </si>
  <si>
    <t>Ангарск - Черемхово</t>
  </si>
  <si>
    <t>Усолье-Сибирское - Черемхово</t>
  </si>
  <si>
    <t>Зима - Саянск</t>
  </si>
  <si>
    <t>Шелехов</t>
  </si>
  <si>
    <t>Казань</t>
  </si>
  <si>
    <t>Ижевск - Набережные Челны</t>
  </si>
  <si>
    <t>Киров</t>
  </si>
  <si>
    <t>Набережные Челны</t>
  </si>
  <si>
    <t>Нижний Новгород</t>
  </si>
  <si>
    <t>Самара</t>
  </si>
  <si>
    <t>Саранск</t>
  </si>
  <si>
    <t>Саратов</t>
  </si>
  <si>
    <t>Чебоксары - Н.Новгород</t>
  </si>
  <si>
    <t>Калининград</t>
  </si>
  <si>
    <t>Балтийск</t>
  </si>
  <si>
    <t>Калининград - Светлый - Балтийск - Калининград</t>
  </si>
  <si>
    <t>Гусев</t>
  </si>
  <si>
    <t>Светлогорск</t>
  </si>
  <si>
    <t>Светлогорск - Зеленоградск</t>
  </si>
  <si>
    <t>Светлогорск - Пионерский - Зеленоградск</t>
  </si>
  <si>
    <t>Светлогорск - Пионерский</t>
  </si>
  <si>
    <t xml:space="preserve">Светлый </t>
  </si>
  <si>
    <t>Светлый - Балтийск</t>
  </si>
  <si>
    <t>Советск</t>
  </si>
  <si>
    <t>Советск - Неман</t>
  </si>
  <si>
    <t>Славск - Советск - Неман</t>
  </si>
  <si>
    <t>Черняховск</t>
  </si>
  <si>
    <t>Гвардейск - Черняховск - Гусев</t>
  </si>
  <si>
    <t>Калуга</t>
  </si>
  <si>
    <t>Балабаново</t>
  </si>
  <si>
    <t>Боровск - Балабаново</t>
  </si>
  <si>
    <t>Тула</t>
  </si>
  <si>
    <t>Малоярославец</t>
  </si>
  <si>
    <t>Обнинск</t>
  </si>
  <si>
    <t>Кемерово</t>
  </si>
  <si>
    <t>Белово- Ленинск-Кузнецкий-Кемерово</t>
  </si>
  <si>
    <t>Ленинск-Кузнецкий</t>
  </si>
  <si>
    <t>Анжеро-Судженск</t>
  </si>
  <si>
    <t>Котельнич</t>
  </si>
  <si>
    <t>Котельнич - Орлов</t>
  </si>
  <si>
    <t>Мураши</t>
  </si>
  <si>
    <t>Краснодар</t>
  </si>
  <si>
    <t>Полтавская - Трудобеликовский - Славянск-на-Кубани</t>
  </si>
  <si>
    <t>Славянск-на-Кубани</t>
  </si>
  <si>
    <t xml:space="preserve"> Краснодар</t>
  </si>
  <si>
    <t>Агроном-Динская-Пластуновская-Васюринская-Новотиторовская-пос.Южный</t>
  </si>
  <si>
    <t>Краснодар-Агроном-Динская-Пластуновская-Васюринская-Новотиторовская-пос.Южный-Краснодар</t>
  </si>
  <si>
    <t>Тимашевск</t>
  </si>
  <si>
    <t>Тимашевск - Роговская - Брюховецкая</t>
  </si>
  <si>
    <t>Усть-Лабинск</t>
  </si>
  <si>
    <t>Новороссийск-Анапа</t>
  </si>
  <si>
    <t>Краснодар-Новороссийск-Анапа-Краснодар</t>
  </si>
  <si>
    <t>Красноярск</t>
  </si>
  <si>
    <t>Абакан</t>
  </si>
  <si>
    <t>Абакан - Минусинск - Черногорск</t>
  </si>
  <si>
    <t>Березовка - Сосновоборск - Красноярск</t>
  </si>
  <si>
    <t>Красноярск - Березовка - Сосновоборск - Красноярск</t>
  </si>
  <si>
    <t>Кедровый - Козулька - Ачинск</t>
  </si>
  <si>
    <t>Козулька - Ачинск</t>
  </si>
  <si>
    <t>Козулька - Новоселово - Черногорск - Усть-Абакан- Абакан - Минусинск</t>
  </si>
  <si>
    <t>Козулька - Новоселово - Белый Яр - Минусинск - Абакан - Черногорск- Усть-Абакан</t>
  </si>
  <si>
    <t>Новоселово - Знаменка - Черногорск - Усть-Абакан - Абакан - Минусинск</t>
  </si>
  <si>
    <t>Новоселово - Черногорск - Усть-Абакан - Абакан - Белый Яр -  Саяногорск - Минусинск</t>
  </si>
  <si>
    <t>Новоселово - Знаменка - Белый Яр - Черногорск - Усть-Абакан - Абакан - Минусинск</t>
  </si>
  <si>
    <t>Новоселово - Шира - Черногорск - Усть-Абакан - Абакан - Минусинск - Саяногорск - Белый Яр</t>
  </si>
  <si>
    <t>Новоселово - Черногорск - Усть-Абакан - Абакан - Минусинск - Белый Яр</t>
  </si>
  <si>
    <t>Знаменка - Черногорск - Усть-Абакан - Абакан - Минусинск - Белый Яр</t>
  </si>
  <si>
    <t xml:space="preserve">Красноярск </t>
  </si>
  <si>
    <t>Козулька - Новоселово - Знаменка - Белый Яр - Минусинск - Абакан - Черногорск - Усть-Абакан</t>
  </si>
  <si>
    <t>Козулька - Новоселово - Знаменка - Черногорск - Усть-Абакан - Абакан - Минусинск- Белый Яр</t>
  </si>
  <si>
    <t>Липецк</t>
  </si>
  <si>
    <t>Боринское - Задонск - Хлевное</t>
  </si>
  <si>
    <t>Грязи</t>
  </si>
  <si>
    <t>Грязи - Усмань</t>
  </si>
  <si>
    <t>Усмань</t>
  </si>
  <si>
    <t>Данков - Елец</t>
  </si>
  <si>
    <t>Данков - Чаплыгин</t>
  </si>
  <si>
    <t>Елец - Задонск</t>
  </si>
  <si>
    <t>Елец - Копцевы Хутора</t>
  </si>
  <si>
    <t>Елец</t>
  </si>
  <si>
    <t>Задонск</t>
  </si>
  <si>
    <t>Лебедянь - Данков</t>
  </si>
  <si>
    <t>Лебедянь - Данков - Чаплыгин</t>
  </si>
  <si>
    <t>Лебедянь - Чаплыгин</t>
  </si>
  <si>
    <t>Копцевы Хутора - Лебедянь - Данков</t>
  </si>
  <si>
    <t>Тамбов</t>
  </si>
  <si>
    <t>Чаплыгин</t>
  </si>
  <si>
    <t>Апрелевка</t>
  </si>
  <si>
    <t>Белгород - Брянск</t>
  </si>
  <si>
    <t>Белгород - Воронеж</t>
  </si>
  <si>
    <t>Белгород - Тула</t>
  </si>
  <si>
    <t>Белгород - Калуга</t>
  </si>
  <si>
    <t>Брянск - Липецк</t>
  </si>
  <si>
    <t>Брянск - Навля - Жуковка</t>
  </si>
  <si>
    <t>Владимир - Александров</t>
  </si>
  <si>
    <t>Владимир - Иваново</t>
  </si>
  <si>
    <t>Владимир - Иваново - Кострома</t>
  </si>
  <si>
    <t>Владимир - Ковров</t>
  </si>
  <si>
    <t>Владимир - Кострома</t>
  </si>
  <si>
    <t>Владимир - Муром</t>
  </si>
  <si>
    <t>Владимир - Суздаль</t>
  </si>
  <si>
    <t xml:space="preserve">Владимир - Суздаль - Юрьев-Польский </t>
  </si>
  <si>
    <t>Владимир - Вологда</t>
  </si>
  <si>
    <t>Владимир - Ярославль</t>
  </si>
  <si>
    <t>Вологда - Череповец</t>
  </si>
  <si>
    <t>Вологда - Ярославль</t>
  </si>
  <si>
    <t>Воронеж - Липецк</t>
  </si>
  <si>
    <t>Воронеж - Тула</t>
  </si>
  <si>
    <t>Звенигород</t>
  </si>
  <si>
    <t>Зеленоград</t>
  </si>
  <si>
    <t>Иваново - Владимир</t>
  </si>
  <si>
    <t>Калуга - Тула</t>
  </si>
  <si>
    <t>Коломна</t>
  </si>
  <si>
    <t>Коломна - Рязань</t>
  </si>
  <si>
    <t>Кострома</t>
  </si>
  <si>
    <t>Кострома - Вологда - Череповец</t>
  </si>
  <si>
    <t>Липецк - Белгород</t>
  </si>
  <si>
    <t>Липецк - Тула</t>
  </si>
  <si>
    <t>Наро-Фоминск</t>
  </si>
  <si>
    <t>Нижний Новгород - Владимир</t>
  </si>
  <si>
    <t>Рязань</t>
  </si>
  <si>
    <t>Рязань - Егорьевск</t>
  </si>
  <si>
    <t>Санкт-Петербург</t>
  </si>
  <si>
    <t>Солнечногорск</t>
  </si>
  <si>
    <t>Смоленск</t>
  </si>
  <si>
    <t>Смоленск - Брянск</t>
  </si>
  <si>
    <t>Тамбов - Рязань</t>
  </si>
  <si>
    <t>Тверь</t>
  </si>
  <si>
    <t>Химки</t>
  </si>
  <si>
    <t>Ярославль</t>
  </si>
  <si>
    <t>Ярославль - Владимир</t>
  </si>
  <si>
    <t xml:space="preserve">Ярославль - Кострома </t>
  </si>
  <si>
    <t xml:space="preserve">Ярославль - Рыбинск </t>
  </si>
  <si>
    <t>Ярославль - Рыбинск - Ярославль</t>
  </si>
  <si>
    <t>Мурманск</t>
  </si>
  <si>
    <t>Апатиты - Кировск</t>
  </si>
  <si>
    <t>Апатиты - Полярные Зори - Кандалакша</t>
  </si>
  <si>
    <t>Кандалакша - Апатиты</t>
  </si>
  <si>
    <t>Кандалакша - Апатиты - Кировск</t>
  </si>
  <si>
    <t>Мончегорск</t>
  </si>
  <si>
    <t>Оленегорск - Кировск - Апатиты</t>
  </si>
  <si>
    <t>Оленегорск - Мончегорск</t>
  </si>
  <si>
    <t>Оленегорск - Мончегорск - Апатиты</t>
  </si>
  <si>
    <t>Оленегорск - Мончегорск - Апатиты - Кировск</t>
  </si>
  <si>
    <t>Полярные Зори - Кировск - Апатиты</t>
  </si>
  <si>
    <t>Альметьевск</t>
  </si>
  <si>
    <t>Мамадыш - Балтаси</t>
  </si>
  <si>
    <t>Нижнекамск</t>
  </si>
  <si>
    <t>Муслюмово - Заинск</t>
  </si>
  <si>
    <t>Нижнекамск - Заинск</t>
  </si>
  <si>
    <t>Нижнекамск - Камские Поляны</t>
  </si>
  <si>
    <t>Мамадыш - Кукмор</t>
  </si>
  <si>
    <t>Новокузнецк</t>
  </si>
  <si>
    <t>Междуреченск</t>
  </si>
  <si>
    <t>Междуреченск - Мыски</t>
  </si>
  <si>
    <t>Киселёвск</t>
  </si>
  <si>
    <t>Киселёвск - Прокопьевск</t>
  </si>
  <si>
    <t>Осинники</t>
  </si>
  <si>
    <t>Осинники - Калтан</t>
  </si>
  <si>
    <t>Новосибирск</t>
  </si>
  <si>
    <t>Барнаул - Бийск</t>
  </si>
  <si>
    <t>Бердск</t>
  </si>
  <si>
    <t>Искитим</t>
  </si>
  <si>
    <t>Искитим - Линёво</t>
  </si>
  <si>
    <t>Новосибирск - Искитим - Линёво</t>
  </si>
  <si>
    <t>Искитим - Линёво - Черепаново</t>
  </si>
  <si>
    <t>Кемерово - Новокузнецк</t>
  </si>
  <si>
    <t>Кемерово - Новокузнецк - Томск</t>
  </si>
  <si>
    <t>Кемерово - Томск</t>
  </si>
  <si>
    <t>Кемерово - Юрга</t>
  </si>
  <si>
    <t>Коченево - Чик</t>
  </si>
  <si>
    <t>Коченево - Чик - Обь</t>
  </si>
  <si>
    <t>Колывань - Кудряшовский - Криводановка - Марусино - Дивногорский</t>
  </si>
  <si>
    <t>Колывань - Кудряшовский - Криводановка - Марусино</t>
  </si>
  <si>
    <t>Линёво-Искитим</t>
  </si>
  <si>
    <t>Новосибирск-Линёво-Искитим-Новосибирск</t>
  </si>
  <si>
    <t>Обь - Прокудское - Чик - Коченёво - Толмачёво</t>
  </si>
  <si>
    <t>Омск</t>
  </si>
  <si>
    <t>Томск</t>
  </si>
  <si>
    <t>Томск - Новокузнецк</t>
  </si>
  <si>
    <t>Новосибирск - Барнаул - Бийск - Новосибирск - Томск - Новосибирск - Кемерово - Новосибирск</t>
  </si>
  <si>
    <t>Орёл</t>
  </si>
  <si>
    <t>Железногорск</t>
  </si>
  <si>
    <t>Курск</t>
  </si>
  <si>
    <t>Ливны</t>
  </si>
  <si>
    <t>Болхов</t>
  </si>
  <si>
    <t>Оренбург</t>
  </si>
  <si>
    <t>Переволоцкий - Новосергиевка</t>
  </si>
  <si>
    <t>Самородово - Беляевка</t>
  </si>
  <si>
    <t>Сорочинск- Бузулук</t>
  </si>
  <si>
    <t>Грачёвка - Бузулук - Курманаевка</t>
  </si>
  <si>
    <t>Грачевка - Бузулук - Курманаевка -Тоцкое</t>
  </si>
  <si>
    <t>имени 9 Января - Нижняя Павловка - Краснохолм - Кардаилово - Илек</t>
  </si>
  <si>
    <t xml:space="preserve">имени 9 Января - Нижняя Павловка - Кардаилово - Илек </t>
  </si>
  <si>
    <t>Черноречье - имени 9 Января - Первомайский  - Соль-Илецк - Акбулак</t>
  </si>
  <si>
    <t>Пос. Каргала- Переволоцкий-Новосергиевка</t>
  </si>
  <si>
    <t>Пригородный- Нежинка- Саракташ</t>
  </si>
  <si>
    <t>пос.Ленина-Сакмара-Октябрьское</t>
  </si>
  <si>
    <t>Соль-Илецк</t>
  </si>
  <si>
    <t>Соль-Илецк - Акбулак</t>
  </si>
  <si>
    <t>Саракташ</t>
  </si>
  <si>
    <t>Сорочинск - Новосергиевка</t>
  </si>
  <si>
    <t>Переволоцкий - Новосергиевка - Сорочинск</t>
  </si>
  <si>
    <t>Переволоцк - Новосергиевка - Сорочинск - Плешаново</t>
  </si>
  <si>
    <t>Нижняя Павловка - Краснохолм - Илек</t>
  </si>
  <si>
    <t>Новосергиевка - Сорочинск - Бузулук - Грачевка</t>
  </si>
  <si>
    <t>Новосергиевка - Сорочинск - Курманаевка - Бузулук - Грачевка</t>
  </si>
  <si>
    <t>Сакмара - Октябрьское</t>
  </si>
  <si>
    <t>Сорочинск - Новосергиевка - Переволоцкий</t>
  </si>
  <si>
    <t>Курманаевка - Бузулук - Грачёвка</t>
  </si>
  <si>
    <t>Курманаевка - Бузулук - Колтубановский - Грачёвка</t>
  </si>
  <si>
    <t>Краснохолм - Илек</t>
  </si>
  <si>
    <t>Краснохолм - Илек - Ташла</t>
  </si>
  <si>
    <t>Пенза</t>
  </si>
  <si>
    <t>Городище</t>
  </si>
  <si>
    <t>Кузнецк</t>
  </si>
  <si>
    <t>Березники - Соликамск</t>
  </si>
  <si>
    <t>Кунгур</t>
  </si>
  <si>
    <t>Кудымкар - Карагай - Краснокамск</t>
  </si>
  <si>
    <t>Подольск</t>
  </si>
  <si>
    <t>Кашира</t>
  </si>
  <si>
    <t>Кашира - Ступино</t>
  </si>
  <si>
    <t>Ступино</t>
  </si>
  <si>
    <t xml:space="preserve">Шилово - Спасск-Рязанский </t>
  </si>
  <si>
    <t>Ростов-на-Дону</t>
  </si>
  <si>
    <t>Азов</t>
  </si>
  <si>
    <t>Ростов-на-Дону - Азов - Ростов-на-Дону</t>
  </si>
  <si>
    <t>Батайск</t>
  </si>
  <si>
    <t>Брянск - Липецк - Воронеж</t>
  </si>
  <si>
    <t>Владикавказ - Грозный - Махачкала</t>
  </si>
  <si>
    <t>Волгоград - Астрахань</t>
  </si>
  <si>
    <t>Волгоград - Краснодар</t>
  </si>
  <si>
    <t>Воронеж - Белгород</t>
  </si>
  <si>
    <t>Воронеж - Белгород - Курск - Брянск - Липецк</t>
  </si>
  <si>
    <t>Воронеж - Брянск - Липецк</t>
  </si>
  <si>
    <t>Воронеж - Липецк - Белгород - Курск</t>
  </si>
  <si>
    <t>Воронеж - Липецк - Тамбов</t>
  </si>
  <si>
    <t>Краснодар - Симферополь - Севастополь</t>
  </si>
  <si>
    <t>Краснодар - Сочи</t>
  </si>
  <si>
    <t>Липецк - Воронеж</t>
  </si>
  <si>
    <t>Липецк - Воронеж - Белгород</t>
  </si>
  <si>
    <t>Липецк - Тамбов</t>
  </si>
  <si>
    <t>Новочеркасск</t>
  </si>
  <si>
    <t>Новошахтинск</t>
  </si>
  <si>
    <t>Пятигорск</t>
  </si>
  <si>
    <t>Симферополь - Севастополь</t>
  </si>
  <si>
    <t>Симферополь - Севастополь - Феодосия</t>
  </si>
  <si>
    <t>Ставрополь</t>
  </si>
  <si>
    <t>Ставрополь - Кисловодск - Ессентуки - Пятигорск</t>
  </si>
  <si>
    <t>Ставрополь - Кисловодск - Пятигорск</t>
  </si>
  <si>
    <t>Ставрополь - Краснодар</t>
  </si>
  <si>
    <t xml:space="preserve">Ставрополь - Усть-Лабинск - Краснодар </t>
  </si>
  <si>
    <t>Таганрог</t>
  </si>
  <si>
    <t>Усть-Лабинск - Краснодар</t>
  </si>
  <si>
    <t>Шахты</t>
  </si>
  <si>
    <t>Новомичуринск - Ряжск</t>
  </si>
  <si>
    <t>Рыбное - Солотча</t>
  </si>
  <si>
    <t xml:space="preserve">Спасск-Рязанский </t>
  </si>
  <si>
    <t>Скопин</t>
  </si>
  <si>
    <t>Жигулёвск</t>
  </si>
  <si>
    <t>Тольятти</t>
  </si>
  <si>
    <t>Великий Новгород</t>
  </si>
  <si>
    <t>Вологда - Архангельск</t>
  </si>
  <si>
    <t>Волхов - Кириши</t>
  </si>
  <si>
    <t>Всеволожск</t>
  </si>
  <si>
    <t>Выборг</t>
  </si>
  <si>
    <t>Выборг - Первомайское</t>
  </si>
  <si>
    <t>Выборг - Рощино</t>
  </si>
  <si>
    <t>Гатчина</t>
  </si>
  <si>
    <t>Зеленогорск - Сестрорецк - Кронштадт</t>
  </si>
  <si>
    <t>Кингисепп - Ивангород</t>
  </si>
  <si>
    <t>Колпино</t>
  </si>
  <si>
    <t>Колпино - Металлострой</t>
  </si>
  <si>
    <t>Колтуши - Разметелево</t>
  </si>
  <si>
    <t>Красное село</t>
  </si>
  <si>
    <t>Кронштадт</t>
  </si>
  <si>
    <t>Кронштадт - Сестрорецк - Зеленогорск</t>
  </si>
  <si>
    <t>Ломоносов</t>
  </si>
  <si>
    <t>Луга</t>
  </si>
  <si>
    <t>Никольское - Тосно</t>
  </si>
  <si>
    <t>Новое Девяткино - Мурино</t>
  </si>
  <si>
    <t>Отрадное</t>
  </si>
  <si>
    <t>Отрадное - Никольское</t>
  </si>
  <si>
    <t>Петергоф</t>
  </si>
  <si>
    <t>Петергоф - Ломоносов</t>
  </si>
  <si>
    <t>Петрозаводск - Псков</t>
  </si>
  <si>
    <t>Пушкин</t>
  </si>
  <si>
    <t>Пушкин - Павловск</t>
  </si>
  <si>
    <t xml:space="preserve">Рощино - Первомайское - Каменка - Агалатово - Сертолово </t>
  </si>
  <si>
    <t>Сестрорецк</t>
  </si>
  <si>
    <t>Сестрорецк - Зеленогорск</t>
  </si>
  <si>
    <t>Сиверская - Вырица</t>
  </si>
  <si>
    <t>Сосновый бор</t>
  </si>
  <si>
    <t>Тихвин - Волхов - Кириши</t>
  </si>
  <si>
    <t>Токсово - Сертолово</t>
  </si>
  <si>
    <t>Тосно</t>
  </si>
  <si>
    <t>Шушары - Пушкин</t>
  </si>
  <si>
    <t>Шлиссельбург - Кировск - Отрадное</t>
  </si>
  <si>
    <t>Шлиссельбург - Кировск - Отрадное - Никольское</t>
  </si>
  <si>
    <t>Севастополь</t>
  </si>
  <si>
    <t>Алушта</t>
  </si>
  <si>
    <t>Белогорск - Кировское - Коктебель - Феодосия</t>
  </si>
  <si>
    <t>Белогорск - Старый Крым - Кировское - Коктебель - Феодосия</t>
  </si>
  <si>
    <t>Симферополь</t>
  </si>
  <si>
    <t>Симферополь - Бахчисарай</t>
  </si>
  <si>
    <t>Симферополь -  Белогорск - Кировское - Коктебель - Феодосия</t>
  </si>
  <si>
    <t>Симферополь - Белогорск - Кировское - Коктебель - Феодосия</t>
  </si>
  <si>
    <t>Симферополь - Белогорск - Старый Крым  - Коктебель - Феодосия - Кировское</t>
  </si>
  <si>
    <t>Ялта</t>
  </si>
  <si>
    <t>Ялта - Алушта</t>
  </si>
  <si>
    <t>Барсуковская - Невинномысск</t>
  </si>
  <si>
    <t>Грачевка - Ипатово</t>
  </si>
  <si>
    <t>Грачёвка - Светлоград - Ипатово</t>
  </si>
  <si>
    <t>Ессентуки - Кисловодск - Пятигорск</t>
  </si>
  <si>
    <t>Железноводск - Пятигорск - Ессентуки - Кисловодск</t>
  </si>
  <si>
    <t>Изобильный - Новоалександровск</t>
  </si>
  <si>
    <t xml:space="preserve"> Изобильный- Птичье-Баклановская</t>
  </si>
  <si>
    <t>Ставрополь- Изобильный- Птичье-Баклановская</t>
  </si>
  <si>
    <t>Казьминское - Черкесск - Кочубеевское</t>
  </si>
  <si>
    <t>Кисловодск - Ессентуки - Пятигорск</t>
  </si>
  <si>
    <t>Кочубеевское - Невинномысск</t>
  </si>
  <si>
    <t>Минеральные Воды - Пятигорск - Ессентуки - Кисловодск</t>
  </si>
  <si>
    <t>Невинномысск</t>
  </si>
  <si>
    <t>Невинномысск - Сенгилеевское</t>
  </si>
  <si>
    <t>Невинномысск - Кочубеевское - Барсуковская</t>
  </si>
  <si>
    <t>Рыздвяный - Изобильный</t>
  </si>
  <si>
    <t>Старомарьевское - Надежда - Грачёвка - Светлоград</t>
  </si>
  <si>
    <t>Пелагиада - Рыздвяный - Изобильный</t>
  </si>
  <si>
    <t>Пелагиада - Рыздвяный - Изобильный - Новоалександровск</t>
  </si>
  <si>
    <t>Севастополь-Невинномысск-Севастополь</t>
  </si>
  <si>
    <t>Рыздвяный - Изобильный - Новоаллександровск</t>
  </si>
  <si>
    <t>Черкесск - Кочубеевское - Барсуковский</t>
  </si>
  <si>
    <t>Расказово - Уварово</t>
  </si>
  <si>
    <t>Рассказово</t>
  </si>
  <si>
    <t>Уварово</t>
  </si>
  <si>
    <t>Мичуринск</t>
  </si>
  <si>
    <t>Асино</t>
  </si>
  <si>
    <t>Асино - Первомайское</t>
  </si>
  <si>
    <t>Зырянское - Асино - Первомайское</t>
  </si>
  <si>
    <t>Колпашево</t>
  </si>
  <si>
    <t>Мельниково - Кривошеино - Молчаново - Чажемто - Колпашево - Тогур</t>
  </si>
  <si>
    <t>Мельниково - Молчаново - Кривошеино - Чажемто - Колпашево</t>
  </si>
  <si>
    <t>Юрга</t>
  </si>
  <si>
    <t>Богандинский - Заводоуковск</t>
  </si>
  <si>
    <t>Заводоуковск</t>
  </si>
  <si>
    <t>Ялуторовск - Заводоуковск</t>
  </si>
  <si>
    <t>Боровский - Винзили - Ялуторовск</t>
  </si>
  <si>
    <t>Боровский - Винзили - Богандинский - Ялуторовск</t>
  </si>
  <si>
    <t>Винзили - Богандинский - Ялуторовск</t>
  </si>
  <si>
    <t>Ялуторовск</t>
  </si>
  <si>
    <t>Нижняя Тавда</t>
  </si>
  <si>
    <t>Велижаны - Нижняя Тавда</t>
  </si>
  <si>
    <t>Велижаны - Нижняя Тавда - Боровский</t>
  </si>
  <si>
    <t>Талица - Тугулым</t>
  </si>
  <si>
    <t>Тюнево - Велижаны - Нижняя Тавда</t>
  </si>
  <si>
    <t>Тобольск</t>
  </si>
  <si>
    <t>Сургут</t>
  </si>
  <si>
    <t>Улан-Удэ</t>
  </si>
  <si>
    <t>Чита</t>
  </si>
  <si>
    <t>Аэропорт Уфа - Ишимбай - Салават - Мелеуз</t>
  </si>
  <si>
    <t>Авдон - Алкино - Чишмы</t>
  </si>
  <si>
    <t>Авдон - Алкино - Чишмы - Раевка</t>
  </si>
  <si>
    <t>Авдон - Алкино - Чишмы - Давлеканово - Раевка</t>
  </si>
  <si>
    <t>Благовещенск</t>
  </si>
  <si>
    <t>Благовещенск - Михайловка</t>
  </si>
  <si>
    <t>Благовещенск - Бирск - Иглино - Шакша - Бурцево</t>
  </si>
  <si>
    <t>Благовещенск - Авдон - Алкино - Чишмы</t>
  </si>
  <si>
    <t>Булгаково - Кармаскалы</t>
  </si>
  <si>
    <t>Булгаково - Толбазы - Ишимбай - Салават - Мелеуз</t>
  </si>
  <si>
    <t>Булгаково - Толбазы - Стерлитамак</t>
  </si>
  <si>
    <t>Верхнеяркеево - Кушнаренково</t>
  </si>
  <si>
    <t>Дюртюли</t>
  </si>
  <si>
    <t>Иглино</t>
  </si>
  <si>
    <t>Иглино - Шакша</t>
  </si>
  <si>
    <t>Иглино - Бурцево</t>
  </si>
  <si>
    <t>Иглино - Бурцево - Нагаево</t>
  </si>
  <si>
    <t>Иглино - Нагаево</t>
  </si>
  <si>
    <t>Шакша - Иглино - Бурцево - Нагаево</t>
  </si>
  <si>
    <t>Искитин</t>
  </si>
  <si>
    <t xml:space="preserve">Кандры -Туймазы - Октябрьский </t>
  </si>
  <si>
    <t xml:space="preserve">Кандры - Белебей  - Октябрьский - Туймазы </t>
  </si>
  <si>
    <t>Кармаскалы</t>
  </si>
  <si>
    <t>Кандры - Серафимовский - Туймазы</t>
  </si>
  <si>
    <t>Кармаскалы - Чишмы</t>
  </si>
  <si>
    <t>Кармаскалы - Ишимбай - Салават - Мелеуз</t>
  </si>
  <si>
    <t>Кармаскалы - Нагаево</t>
  </si>
  <si>
    <t>Кармаскалы - Стерлитамак</t>
  </si>
  <si>
    <t>Миловка - Михайловка - Кушнаренково - Дюртюли</t>
  </si>
  <si>
    <t>Новая Отрадовка - Наумовка - Ишимбай - Салават - Мелеуз</t>
  </si>
  <si>
    <t>Салават</t>
  </si>
  <si>
    <t>Ишимбай - Салават - Мелеуз</t>
  </si>
  <si>
    <t>Стерлитамак</t>
  </si>
  <si>
    <t>Стерлитамак - Толбазы</t>
  </si>
  <si>
    <t>Стерлитамак - Рощинский - Кармаскалы</t>
  </si>
  <si>
    <t>Толбазы - Стерлитамак - Кармаскалы</t>
  </si>
  <si>
    <t>Толбазы - Ишимбай - Салават - Мелеуз - Исянгулово</t>
  </si>
  <si>
    <t>Толбазы - Ишимбай - Салават - Мелеуз - Новая Отрадовка</t>
  </si>
  <si>
    <t>Толбазы - Ишимбай - Салават - Мелеуз</t>
  </si>
  <si>
    <t>Ишимбай - Салават - Зирган - Мелеуз</t>
  </si>
  <si>
    <t>Толбазы - Наумовка - Ишимбай - Салават - Мелеуз</t>
  </si>
  <si>
    <t>Туймазы</t>
  </si>
  <si>
    <t>Шаран -Туймазы - Серафимовский</t>
  </si>
  <si>
    <t>Туймазы - Белебей</t>
  </si>
  <si>
    <t>Нефтекамск - Агидель</t>
  </si>
  <si>
    <t>Кушнаренково - Дюртюли - Нефтекамск</t>
  </si>
  <si>
    <t>Кушнаренково - Дюртюли  - Агидель - Нефтекамск</t>
  </si>
  <si>
    <t>Кушнаренково - Дюртюли - Агидель - Нефтекамск - Верхние Татышлы</t>
  </si>
  <si>
    <t>Чишмы</t>
  </si>
  <si>
    <t>Йошкар-Ола</t>
  </si>
  <si>
    <t>Канаш</t>
  </si>
  <si>
    <t>Магнитогорск</t>
  </si>
  <si>
    <t>Миасс - Златоуст</t>
  </si>
  <si>
    <t>Чебаркуль</t>
  </si>
  <si>
    <t>Чебаркуль - Миасс</t>
  </si>
  <si>
    <t>Шексна - Вологда</t>
  </si>
  <si>
    <t>Данилов</t>
  </si>
  <si>
    <t>Ростов</t>
  </si>
  <si>
    <t>Рыбинск</t>
  </si>
  <si>
    <t>Переславль-Залесский</t>
  </si>
  <si>
    <t>МП</t>
  </si>
  <si>
    <t>РД</t>
  </si>
  <si>
    <t>город локации</t>
  </si>
  <si>
    <t>регион</t>
  </si>
  <si>
    <t>должность</t>
  </si>
  <si>
    <t>Медицинский Представитель</t>
  </si>
  <si>
    <t>№ месяца</t>
  </si>
  <si>
    <t>Месяц</t>
  </si>
  <si>
    <t>Род.падеж</t>
  </si>
  <si>
    <t>Дата</t>
  </si>
  <si>
    <t>Время</t>
  </si>
  <si>
    <t>Баранова Лилия Борисовна</t>
  </si>
  <si>
    <t>Толмачева Татьяна Владимировна</t>
  </si>
  <si>
    <t>Медицинский представитель ОТС</t>
  </si>
  <si>
    <t>Грудинина Галина Сергеевна</t>
  </si>
  <si>
    <t>Шалыга Игорь Анатольевич</t>
  </si>
  <si>
    <t>Региональный Менеджер</t>
  </si>
  <si>
    <t>авиа</t>
  </si>
  <si>
    <t>Янв</t>
  </si>
  <si>
    <t>января</t>
  </si>
  <si>
    <t>Павлуткин Сергей Евгеньевич</t>
  </si>
  <si>
    <t>Региональный Директор</t>
  </si>
  <si>
    <t>ж/д</t>
  </si>
  <si>
    <t>Фев</t>
  </si>
  <si>
    <t>февраля</t>
  </si>
  <si>
    <t>Русяева Юлия Александровна</t>
  </si>
  <si>
    <t>Территориальный Директор</t>
  </si>
  <si>
    <t>Мар</t>
  </si>
  <si>
    <t>марта</t>
  </si>
  <si>
    <t>Первакова Наталья Владимировна</t>
  </si>
  <si>
    <t>Южный</t>
  </si>
  <si>
    <t>Каневская Наталья Владимировна</t>
  </si>
  <si>
    <t>Директор</t>
  </si>
  <si>
    <t>Май</t>
  </si>
  <si>
    <t>мая</t>
  </si>
  <si>
    <t>Зам.директора</t>
  </si>
  <si>
    <t>Июн</t>
  </si>
  <si>
    <t>июня</t>
  </si>
  <si>
    <t>Котолевская Ольга Алексеевна</t>
  </si>
  <si>
    <t>Июл</t>
  </si>
  <si>
    <t>июля</t>
  </si>
  <si>
    <t>Коробкина Лилия Михайловна</t>
  </si>
  <si>
    <t>Медицинский представитель RX</t>
  </si>
  <si>
    <t>Авг</t>
  </si>
  <si>
    <t>августа</t>
  </si>
  <si>
    <t>Сен</t>
  </si>
  <si>
    <t>сентября</t>
  </si>
  <si>
    <t>Окт</t>
  </si>
  <si>
    <t>октября</t>
  </si>
  <si>
    <t>Ноя</t>
  </si>
  <si>
    <t>ноября</t>
  </si>
  <si>
    <t>Пегарькова Елена Александровна</t>
  </si>
  <si>
    <t>Салазкин Андрей Владимирович</t>
  </si>
  <si>
    <t>Управление продаж</t>
  </si>
  <si>
    <t>Дек</t>
  </si>
  <si>
    <t>декабря</t>
  </si>
  <si>
    <t>Пилипейко Антон Николаевич</t>
  </si>
  <si>
    <t>Хабаровск</t>
  </si>
  <si>
    <t>Плешкова Елена Владимировна</t>
  </si>
  <si>
    <t xml:space="preserve">  </t>
  </si>
  <si>
    <t>Романюк Марина Иосифовна</t>
  </si>
  <si>
    <t>Рудакова Ирина Владимировна</t>
  </si>
  <si>
    <t>Устигова Надежда Геннадьевна</t>
  </si>
  <si>
    <t>Проживание</t>
  </si>
  <si>
    <t>Суточные</t>
  </si>
  <si>
    <t>Медицинский Представитель Микс</t>
  </si>
  <si>
    <t>Менеджер по работе с ключевыми клиентами</t>
  </si>
  <si>
    <t>Менеджер по работе с аптечными сетями</t>
  </si>
  <si>
    <t>Национальный менеджер по работе с аптечными сетями</t>
  </si>
  <si>
    <t>Групп продакт менеджер</t>
  </si>
  <si>
    <t>Бренд-менеджер</t>
  </si>
  <si>
    <t>Зам.ком.дир.</t>
  </si>
  <si>
    <t>Менеджер по работе с клиентами</t>
  </si>
  <si>
    <t>Кузнецова Марина Борисовна Итог</t>
  </si>
  <si>
    <t>Лысова Ольга Павловна Итог</t>
  </si>
  <si>
    <t>Молчанова Надежда Николаевна Итог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</si>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</sst>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* #,##0\ _р_._-;\-* #,##0\ _р_._-;_-* &quot;-&quot;??\ _р_._-;_-@"/>
    <numFmt numFmtId="165" formatCode="_-* #\ ##0\ _₽_-;\-* #\ ##0\ _₽_-;_-* &quot;-&quot;??\ _₽_-;_-@_-"/>
    <numFmt numFmtId="166" formatCode="[$р.-419]#,##0"/>
    <numFmt numFmtId="167" formatCode="[$р.-419]#,##0.00"/>
    <numFmt numFmtId="168" formatCode="d\ mmmm"/>
    <numFmt numFmtId="169" formatCode="_-* #,##0\ &quot;₽&quot;_-;\-* #,##0\ &quot;₽&quot;_-;_-* &quot;-&quot;??\ &quot;₽&quot;_-;_-@"/>
  </numFmts>
  <fonts count="30">
    <font>
      <sz val="11"/>
      <color theme="1"/>
      <name val="Calibri"/>
      <scheme val="minor"/>
    </font>
    <font>
      <sz val="7"/>
      <color rgb="FF000000"/>
      <name val="Arial"/>
    </font>
    <font>
      <sz val="11"/>
      <color rgb="FF000000"/>
      <name val="Arial"/>
    </font>
    <font>
      <sz val="11"/>
      <color rgb="FF000000"/>
      <name val="&quot;Aptos narrow&quot;"/>
    </font>
    <font>
      <b/>
      <sz val="11"/>
      <color rgb="FF000000"/>
      <name val="&quot;Ȫptos narrow\&quot;&quot;"/>
    </font>
    <font>
      <b/>
      <sz val="11"/>
      <color rgb="FF000000"/>
      <name val="Arial"/>
    </font>
    <font>
      <sz val="8"/>
      <color rgb="FF000000"/>
      <name val="Arial"/>
    </font>
    <font>
      <sz val="11"/>
      <color theme="1"/>
      <name val="Aptos narrow"/>
    </font>
    <font>
      <sz val="11"/>
      <color rgb="FF000000"/>
      <name val="Aptos narrow"/>
    </font>
    <font>
      <sz val="11"/>
      <color rgb="FF1A1A1A"/>
      <name val="Arial"/>
    </font>
    <font>
      <sz val="11"/>
      <color theme="1"/>
      <name val="Calibri"/>
      <scheme val="minor"/>
    </font>
    <font>
      <sz val="8"/>
      <color theme="1"/>
      <name val="Aptos narrow"/>
    </font>
    <font>
      <b/>
      <sz val="10"/>
      <color theme="1"/>
      <name val="Arial"/>
    </font>
    <font>
      <b/>
      <sz val="11"/>
      <color theme="1"/>
      <name val="Calibri"/>
    </font>
    <font>
      <sz val="13"/>
      <color theme="1"/>
      <name val="Arial Narrow"/>
    </font>
    <font>
      <sz val="9"/>
      <color theme="1"/>
      <name val="Arial Narrow"/>
    </font>
    <font>
      <sz val="9"/>
      <color rgb="FF000000"/>
      <name val="Arial Narrow"/>
    </font>
    <font>
      <sz val="11"/>
      <color rgb="FF000000"/>
      <name val="Roboto"/>
    </font>
    <font>
      <sz val="9"/>
      <color rgb="FF1F1F1F"/>
      <name val="Arial"/>
    </font>
    <font>
      <b/>
      <sz val="9"/>
      <color rgb="FF000000"/>
      <name val="Arial Narrow"/>
    </font>
    <font>
      <sz val="9"/>
      <color rgb="FF1F1F1F"/>
      <name val="&quot;Google Sans&quot;"/>
    </font>
    <font>
      <sz val="12"/>
      <color theme="1"/>
      <name val="&quot;Times New Roman&quot;"/>
    </font>
    <font>
      <sz val="11"/>
      <color rgb="FF000000"/>
      <name val="Inconsolata"/>
    </font>
    <font>
      <sz val="9"/>
      <color rgb="FF1A1A1A"/>
      <name val="Arial Narrow"/>
    </font>
    <font>
      <sz val="9"/>
      <color rgb="FF000000"/>
      <name val="&quot;Arial Narrow&quot;"/>
    </font>
    <font>
      <sz val="10"/>
      <color rgb="FF000000"/>
      <name val="Arial Narrow"/>
    </font>
    <font>
      <sz val="11"/>
      <color theme="1"/>
      <name val="Calibri"/>
    </font>
    <font>
      <sz val="8"/>
      <color theme="1"/>
      <name val="Arial Narrow"/>
    </font>
    <font>
      <sz val="9"/>
      <color theme="1"/>
      <name val="Calibri"/>
      <scheme val="minor"/>
    </font>
    <font>
      <sz val="8"/>
      <color rgb="FF1A1A1A"/>
      <name val="Arial Narrow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43434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F2CEEF"/>
      </top>
      <bottom style="thin">
        <color rgb="FFF2CEEF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4" fontId="3" fillId="4" borderId="3" xfId="0" applyNumberFormat="1" applyFont="1" applyFill="1" applyBorder="1" applyAlignment="1">
      <alignment horizontal="center" wrapText="1"/>
    </xf>
    <xf numFmtId="4" fontId="2" fillId="4" borderId="3" xfId="0" applyNumberFormat="1" applyFont="1" applyFill="1" applyBorder="1" applyAlignment="1">
      <alignment horizontal="left" wrapText="1"/>
    </xf>
    <xf numFmtId="4" fontId="3" fillId="3" borderId="3" xfId="0" applyNumberFormat="1" applyFont="1" applyFill="1" applyBorder="1" applyAlignment="1">
      <alignment horizontal="center" wrapText="1"/>
    </xf>
    <xf numFmtId="4" fontId="2" fillId="3" borderId="3" xfId="0" applyNumberFormat="1" applyFont="1" applyFill="1" applyBorder="1" applyAlignment="1">
      <alignment horizontal="center" wrapText="1"/>
    </xf>
    <xf numFmtId="4" fontId="4" fillId="4" borderId="3" xfId="0" applyNumberFormat="1" applyFont="1" applyFill="1" applyBorder="1" applyAlignment="1">
      <alignment horizontal="center" wrapText="1"/>
    </xf>
    <xf numFmtId="3" fontId="5" fillId="3" borderId="3" xfId="0" applyNumberFormat="1" applyFont="1" applyFill="1" applyBorder="1" applyAlignment="1">
      <alignment horizontal="center" wrapText="1"/>
    </xf>
    <xf numFmtId="4" fontId="4" fillId="3" borderId="3" xfId="0" applyNumberFormat="1" applyFont="1" applyFill="1" applyBorder="1" applyAlignment="1">
      <alignment horizontal="center" wrapText="1"/>
    </xf>
    <xf numFmtId="4" fontId="3" fillId="3" borderId="4" xfId="0" applyNumberFormat="1" applyFont="1" applyFill="1" applyBorder="1" applyAlignment="1">
      <alignment horizontal="center" wrapText="1"/>
    </xf>
    <xf numFmtId="4" fontId="2" fillId="3" borderId="4" xfId="0" applyNumberFormat="1" applyFont="1" applyFill="1" applyBorder="1" applyAlignment="1">
      <alignment horizontal="center" wrapText="1"/>
    </xf>
    <xf numFmtId="4" fontId="2" fillId="3" borderId="5" xfId="0" applyNumberFormat="1" applyFont="1" applyFill="1" applyBorder="1" applyAlignment="1">
      <alignment horizontal="center" wrapText="1"/>
    </xf>
    <xf numFmtId="4" fontId="2" fillId="0" borderId="2" xfId="0" applyNumberFormat="1" applyFont="1" applyBorder="1" applyAlignment="1">
      <alignment horizontal="center" wrapText="1"/>
    </xf>
    <xf numFmtId="4" fontId="3" fillId="0" borderId="3" xfId="0" applyNumberFormat="1" applyFont="1" applyBorder="1" applyAlignment="1">
      <alignment horizontal="center" wrapText="1"/>
    </xf>
    <xf numFmtId="0" fontId="6" fillId="2" borderId="0" xfId="0" applyFont="1" applyFill="1" applyAlignment="1">
      <alignment horizontal="left" wrapText="1"/>
    </xf>
    <xf numFmtId="0" fontId="2" fillId="5" borderId="6" xfId="0" applyFont="1" applyFill="1" applyBorder="1" applyAlignment="1">
      <alignment horizontal="left" wrapText="1"/>
    </xf>
    <xf numFmtId="0" fontId="7" fillId="6" borderId="6" xfId="0" applyFont="1" applyFill="1" applyBorder="1" applyAlignment="1">
      <alignment horizontal="left" vertical="center" wrapText="1"/>
    </xf>
    <xf numFmtId="0" fontId="7" fillId="6" borderId="6" xfId="0" applyFont="1" applyFill="1" applyBorder="1" applyAlignment="1">
      <alignment wrapText="1"/>
    </xf>
    <xf numFmtId="0" fontId="3" fillId="6" borderId="6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center" wrapText="1"/>
    </xf>
    <xf numFmtId="1" fontId="8" fillId="6" borderId="6" xfId="0" applyNumberFormat="1" applyFont="1" applyFill="1" applyBorder="1" applyAlignment="1">
      <alignment horizontal="center" vertical="center"/>
    </xf>
    <xf numFmtId="3" fontId="2" fillId="5" borderId="6" xfId="0" applyNumberFormat="1" applyFont="1" applyFill="1" applyBorder="1" applyAlignment="1">
      <alignment horizontal="center" wrapText="1"/>
    </xf>
    <xf numFmtId="4" fontId="2" fillId="5" borderId="6" xfId="0" applyNumberFormat="1" applyFont="1" applyFill="1" applyBorder="1" applyAlignment="1">
      <alignment wrapText="1"/>
    </xf>
    <xf numFmtId="4" fontId="2" fillId="5" borderId="2" xfId="0" applyNumberFormat="1" applyFont="1" applyFill="1" applyBorder="1" applyAlignment="1">
      <alignment wrapText="1"/>
    </xf>
    <xf numFmtId="0" fontId="2" fillId="5" borderId="6" xfId="0" applyFont="1" applyFill="1" applyBorder="1" applyAlignment="1">
      <alignment horizontal="center" wrapText="1"/>
    </xf>
    <xf numFmtId="21" fontId="2" fillId="5" borderId="2" xfId="0" applyNumberFormat="1" applyFont="1" applyFill="1" applyBorder="1" applyAlignment="1">
      <alignment horizontal="center" wrapText="1"/>
    </xf>
    <xf numFmtId="164" fontId="2" fillId="5" borderId="3" xfId="0" applyNumberFormat="1" applyFont="1" applyFill="1" applyBorder="1" applyAlignment="1">
      <alignment horizontal="center" wrapText="1"/>
    </xf>
    <xf numFmtId="0" fontId="9" fillId="5" borderId="3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20" fontId="2" fillId="5" borderId="3" xfId="0" applyNumberFormat="1" applyFont="1" applyFill="1" applyBorder="1" applyAlignment="1">
      <alignment horizontal="left" wrapText="1"/>
    </xf>
    <xf numFmtId="164" fontId="7" fillId="0" borderId="6" xfId="0" applyNumberFormat="1" applyFont="1" applyBorder="1" applyAlignment="1">
      <alignment horizontal="right" wrapText="1"/>
    </xf>
    <xf numFmtId="165" fontId="7" fillId="0" borderId="6" xfId="0" applyNumberFormat="1" applyFont="1" applyBorder="1" applyAlignment="1">
      <alignment horizontal="right" wrapText="1"/>
    </xf>
    <xf numFmtId="166" fontId="7" fillId="0" borderId="6" xfId="0" applyNumberFormat="1" applyFont="1" applyBorder="1" applyAlignment="1">
      <alignment horizontal="center" wrapText="1"/>
    </xf>
    <xf numFmtId="167" fontId="7" fillId="0" borderId="2" xfId="0" applyNumberFormat="1" applyFont="1" applyBorder="1" applyAlignment="1">
      <alignment horizontal="center" wrapText="1"/>
    </xf>
    <xf numFmtId="164" fontId="2" fillId="5" borderId="7" xfId="0" applyNumberFormat="1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 wrapText="1"/>
    </xf>
    <xf numFmtId="0" fontId="9" fillId="5" borderId="7" xfId="0" applyFont="1" applyFill="1" applyBorder="1" applyAlignment="1">
      <alignment horizontal="center" wrapText="1"/>
    </xf>
    <xf numFmtId="20" fontId="2" fillId="5" borderId="7" xfId="0" applyNumberFormat="1" applyFont="1" applyFill="1" applyBorder="1" applyAlignment="1">
      <alignment horizontal="left" wrapText="1"/>
    </xf>
    <xf numFmtId="164" fontId="3" fillId="5" borderId="7" xfId="0" applyNumberFormat="1" applyFont="1" applyFill="1" applyBorder="1" applyAlignment="1">
      <alignment horizontal="center" wrapText="1"/>
    </xf>
    <xf numFmtId="3" fontId="2" fillId="5" borderId="2" xfId="0" applyNumberFormat="1" applyFont="1" applyFill="1" applyBorder="1" applyAlignment="1">
      <alignment horizontal="center" wrapText="1"/>
    </xf>
    <xf numFmtId="164" fontId="3" fillId="5" borderId="2" xfId="0" applyNumberFormat="1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0" fontId="7" fillId="5" borderId="6" xfId="0" applyFont="1" applyFill="1" applyBorder="1" applyAlignment="1">
      <alignment horizontal="center" vertical="center" wrapText="1"/>
    </xf>
    <xf numFmtId="0" fontId="10" fillId="0" borderId="0" xfId="0" applyFont="1"/>
    <xf numFmtId="4" fontId="2" fillId="5" borderId="7" xfId="0" applyNumberFormat="1" applyFont="1" applyFill="1" applyBorder="1" applyAlignment="1">
      <alignment horizontal="center" wrapText="1"/>
    </xf>
    <xf numFmtId="164" fontId="2" fillId="5" borderId="2" xfId="0" applyNumberFormat="1" applyFont="1" applyFill="1" applyBorder="1" applyAlignment="1">
      <alignment horizontal="center" wrapText="1"/>
    </xf>
    <xf numFmtId="168" fontId="2" fillId="6" borderId="6" xfId="0" applyNumberFormat="1" applyFont="1" applyFill="1" applyBorder="1" applyAlignment="1">
      <alignment horizontal="left" wrapText="1"/>
    </xf>
    <xf numFmtId="4" fontId="2" fillId="5" borderId="2" xfId="0" applyNumberFormat="1" applyFont="1" applyFill="1" applyBorder="1" applyAlignment="1">
      <alignment horizontal="center" wrapText="1"/>
    </xf>
    <xf numFmtId="0" fontId="8" fillId="6" borderId="6" xfId="0" applyFont="1" applyFill="1" applyBorder="1" applyAlignment="1">
      <alignment horizontal="center" vertical="center"/>
    </xf>
    <xf numFmtId="0" fontId="11" fillId="2" borderId="0" xfId="0" applyFont="1" applyFill="1" applyAlignment="1">
      <alignment wrapText="1"/>
    </xf>
    <xf numFmtId="0" fontId="11" fillId="2" borderId="0" xfId="0" applyFont="1" applyFill="1"/>
    <xf numFmtId="0" fontId="11" fillId="2" borderId="2" xfId="0" applyFont="1" applyFill="1" applyBorder="1"/>
    <xf numFmtId="0" fontId="12" fillId="0" borderId="2" xfId="0" applyFont="1" applyBorder="1"/>
    <xf numFmtId="0" fontId="7" fillId="2" borderId="6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wrapText="1"/>
    </xf>
    <xf numFmtId="0" fontId="11" fillId="0" borderId="2" xfId="0" applyFont="1" applyBorder="1" applyAlignment="1">
      <alignment horizontal="left"/>
    </xf>
    <xf numFmtId="0" fontId="11" fillId="0" borderId="2" xfId="0" applyFont="1" applyBorder="1"/>
    <xf numFmtId="0" fontId="11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166" fontId="13" fillId="0" borderId="2" xfId="0" applyNumberFormat="1" applyFont="1" applyBorder="1" applyAlignment="1">
      <alignment horizontal="right"/>
    </xf>
    <xf numFmtId="21" fontId="2" fillId="6" borderId="2" xfId="0" applyNumberFormat="1" applyFont="1" applyFill="1" applyBorder="1" applyAlignment="1">
      <alignment horizontal="left" wrapText="1"/>
    </xf>
    <xf numFmtId="167" fontId="12" fillId="0" borderId="2" xfId="0" applyNumberFormat="1" applyFont="1" applyBorder="1"/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166" fontId="13" fillId="0" borderId="0" xfId="0" applyNumberFormat="1" applyFont="1" applyAlignment="1">
      <alignment horizontal="right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right" vertical="center" wrapText="1"/>
    </xf>
    <xf numFmtId="0" fontId="15" fillId="0" borderId="0" xfId="0" applyFont="1" applyAlignment="1">
      <alignment wrapText="1"/>
    </xf>
    <xf numFmtId="4" fontId="15" fillId="7" borderId="8" xfId="0" applyNumberFormat="1" applyFont="1" applyFill="1" applyBorder="1" applyAlignment="1">
      <alignment horizontal="left" vertical="center"/>
    </xf>
    <xf numFmtId="4" fontId="15" fillId="7" borderId="2" xfId="0" applyNumberFormat="1" applyFont="1" applyFill="1" applyBorder="1" applyAlignment="1">
      <alignment horizontal="left" vertical="center"/>
    </xf>
    <xf numFmtId="1" fontId="15" fillId="7" borderId="2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6" fillId="0" borderId="2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1" fontId="16" fillId="0" borderId="6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  <xf numFmtId="0" fontId="15" fillId="0" borderId="2" xfId="0" applyFont="1" applyBorder="1"/>
    <xf numFmtId="1" fontId="15" fillId="0" borderId="2" xfId="0" applyNumberFormat="1" applyFont="1" applyBorder="1" applyAlignment="1">
      <alignment horizontal="center"/>
    </xf>
    <xf numFmtId="0" fontId="17" fillId="2" borderId="9" xfId="0" applyFont="1" applyFill="1" applyBorder="1"/>
    <xf numFmtId="0" fontId="18" fillId="2" borderId="9" xfId="0" applyFont="1" applyFill="1" applyBorder="1"/>
    <xf numFmtId="1" fontId="15" fillId="0" borderId="2" xfId="0" applyNumberFormat="1" applyFont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center"/>
    </xf>
    <xf numFmtId="1" fontId="16" fillId="2" borderId="2" xfId="0" applyNumberFormat="1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left"/>
    </xf>
    <xf numFmtId="164" fontId="6" fillId="2" borderId="2" xfId="0" applyNumberFormat="1" applyFont="1" applyFill="1" applyBorder="1" applyAlignment="1">
      <alignment wrapText="1"/>
    </xf>
    <xf numFmtId="1" fontId="15" fillId="2" borderId="2" xfId="0" applyNumberFormat="1" applyFont="1" applyFill="1" applyBorder="1" applyAlignment="1">
      <alignment horizontal="center"/>
    </xf>
    <xf numFmtId="0" fontId="15" fillId="2" borderId="2" xfId="0" applyFont="1" applyFill="1" applyBorder="1" applyAlignment="1">
      <alignment horizontal="left"/>
    </xf>
    <xf numFmtId="0" fontId="19" fillId="2" borderId="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20" fillId="2" borderId="0" xfId="0" applyFont="1" applyFill="1"/>
    <xf numFmtId="0" fontId="21" fillId="0" borderId="0" xfId="0" applyFont="1"/>
    <xf numFmtId="0" fontId="15" fillId="0" borderId="2" xfId="0" applyFont="1" applyBorder="1" applyAlignment="1">
      <alignment horizontal="left"/>
    </xf>
    <xf numFmtId="0" fontId="22" fillId="2" borderId="9" xfId="0" applyFont="1" applyFill="1" applyBorder="1"/>
    <xf numFmtId="0" fontId="15" fillId="0" borderId="2" xfId="0" applyFont="1" applyBorder="1" applyAlignment="1">
      <alignment horizontal="left" wrapText="1"/>
    </xf>
    <xf numFmtId="0" fontId="15" fillId="0" borderId="2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6" fillId="6" borderId="2" xfId="0" applyFont="1" applyFill="1" applyBorder="1" applyAlignment="1">
      <alignment horizontal="left" vertical="center"/>
    </xf>
    <xf numFmtId="1" fontId="23" fillId="0" borderId="2" xfId="0" applyNumberFormat="1" applyFont="1" applyBorder="1" applyAlignment="1">
      <alignment horizontal="center"/>
    </xf>
    <xf numFmtId="0" fontId="23" fillId="0" borderId="2" xfId="0" applyFont="1" applyBorder="1"/>
    <xf numFmtId="1" fontId="23" fillId="0" borderId="2" xfId="0" applyNumberFormat="1" applyFont="1" applyBorder="1" applyAlignment="1">
      <alignment horizontal="center" vertical="center"/>
    </xf>
    <xf numFmtId="0" fontId="24" fillId="0" borderId="0" xfId="0" applyFont="1"/>
    <xf numFmtId="0" fontId="23" fillId="0" borderId="2" xfId="0" applyFont="1" applyBorder="1" applyAlignment="1">
      <alignment horizontal="left"/>
    </xf>
    <xf numFmtId="0" fontId="17" fillId="2" borderId="0" xfId="0" applyFont="1" applyFill="1"/>
    <xf numFmtId="0" fontId="16" fillId="0" borderId="9" xfId="0" applyFont="1" applyBorder="1" applyAlignment="1">
      <alignment horizontal="left" vertical="center"/>
    </xf>
    <xf numFmtId="0" fontId="23" fillId="2" borderId="2" xfId="0" applyFont="1" applyFill="1" applyBorder="1" applyAlignment="1">
      <alignment horizontal="left"/>
    </xf>
    <xf numFmtId="164" fontId="6" fillId="2" borderId="3" xfId="0" applyNumberFormat="1" applyFont="1" applyFill="1" applyBorder="1" applyAlignment="1">
      <alignment horizontal="left" wrapText="1"/>
    </xf>
    <xf numFmtId="0" fontId="18" fillId="2" borderId="0" xfId="0" applyFont="1" applyFill="1"/>
    <xf numFmtId="1" fontId="16" fillId="0" borderId="10" xfId="0" applyNumberFormat="1" applyFont="1" applyBorder="1" applyAlignment="1">
      <alignment horizontal="center" vertical="center"/>
    </xf>
    <xf numFmtId="0" fontId="25" fillId="6" borderId="9" xfId="0" applyFont="1" applyFill="1" applyBorder="1" applyAlignment="1">
      <alignment horizontal="center" vertical="center" wrapText="1"/>
    </xf>
    <xf numFmtId="1" fontId="16" fillId="0" borderId="2" xfId="0" applyNumberFormat="1" applyFont="1" applyBorder="1" applyAlignment="1">
      <alignment horizont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wrapText="1"/>
    </xf>
    <xf numFmtId="0" fontId="15" fillId="0" borderId="9" xfId="0" applyFont="1" applyBorder="1"/>
    <xf numFmtId="0" fontId="18" fillId="2" borderId="2" xfId="0" applyFont="1" applyFill="1" applyBorder="1"/>
    <xf numFmtId="0" fontId="15" fillId="0" borderId="11" xfId="0" applyFont="1" applyBorder="1"/>
    <xf numFmtId="0" fontId="15" fillId="0" borderId="0" xfId="0" applyFont="1"/>
    <xf numFmtId="0" fontId="15" fillId="0" borderId="12" xfId="0" applyFont="1" applyBorder="1"/>
    <xf numFmtId="0" fontId="23" fillId="0" borderId="2" xfId="0" applyFont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/>
    </xf>
    <xf numFmtId="0" fontId="16" fillId="2" borderId="9" xfId="0" applyFont="1" applyFill="1" applyBorder="1" applyAlignment="1">
      <alignment horizontal="left"/>
    </xf>
    <xf numFmtId="0" fontId="15" fillId="0" borderId="13" xfId="0" applyFont="1" applyBorder="1" applyAlignment="1">
      <alignment horizontal="left"/>
    </xf>
    <xf numFmtId="0" fontId="15" fillId="0" borderId="2" xfId="0" applyFont="1" applyBorder="1" applyAlignment="1">
      <alignment horizontal="left" vertical="top"/>
    </xf>
    <xf numFmtId="0" fontId="15" fillId="0" borderId="5" xfId="0" applyFont="1" applyBorder="1" applyAlignment="1">
      <alignment horizontal="left"/>
    </xf>
    <xf numFmtId="0" fontId="16" fillId="0" borderId="5" xfId="0" applyFont="1" applyBorder="1" applyAlignment="1">
      <alignment horizontal="left" vertical="center"/>
    </xf>
    <xf numFmtId="1" fontId="15" fillId="0" borderId="3" xfId="0" applyNumberFormat="1" applyFont="1" applyBorder="1" applyAlignment="1">
      <alignment horizontal="center"/>
    </xf>
    <xf numFmtId="0" fontId="15" fillId="0" borderId="6" xfId="0" applyFont="1" applyBorder="1" applyAlignment="1">
      <alignment horizontal="left"/>
    </xf>
    <xf numFmtId="0" fontId="26" fillId="0" borderId="2" xfId="0" applyFont="1" applyBorder="1"/>
    <xf numFmtId="0" fontId="15" fillId="0" borderId="9" xfId="0" applyFont="1" applyBorder="1" applyAlignment="1">
      <alignment horizontal="left"/>
    </xf>
    <xf numFmtId="0" fontId="15" fillId="0" borderId="9" xfId="0" applyFont="1" applyBorder="1" applyAlignment="1">
      <alignment horizontal="left" vertical="top"/>
    </xf>
    <xf numFmtId="0" fontId="15" fillId="0" borderId="14" xfId="0" applyFont="1" applyBorder="1" applyAlignment="1">
      <alignment horizontal="left" vertical="top"/>
    </xf>
    <xf numFmtId="0" fontId="15" fillId="0" borderId="12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/>
    </xf>
    <xf numFmtId="1" fontId="15" fillId="0" borderId="0" xfId="0" applyNumberFormat="1" applyFont="1" applyAlignment="1">
      <alignment horizontal="center"/>
    </xf>
    <xf numFmtId="0" fontId="27" fillId="4" borderId="2" xfId="0" applyFont="1" applyFill="1" applyBorder="1" applyAlignment="1">
      <alignment horizontal="left" vertical="center"/>
    </xf>
    <xf numFmtId="4" fontId="27" fillId="4" borderId="2" xfId="0" applyNumberFormat="1" applyFont="1" applyFill="1" applyBorder="1" applyAlignment="1">
      <alignment horizontal="left" vertical="center"/>
    </xf>
    <xf numFmtId="0" fontId="27" fillId="4" borderId="2" xfId="0" applyFont="1" applyFill="1" applyBorder="1"/>
    <xf numFmtId="0" fontId="27" fillId="2" borderId="0" xfId="0" applyFont="1" applyFill="1"/>
    <xf numFmtId="0" fontId="27" fillId="2" borderId="2" xfId="0" applyFont="1" applyFill="1" applyBorder="1"/>
    <xf numFmtId="0" fontId="27" fillId="4" borderId="7" xfId="0" applyFont="1" applyFill="1" applyBorder="1" applyAlignment="1">
      <alignment horizontal="center"/>
    </xf>
    <xf numFmtId="0" fontId="27" fillId="4" borderId="6" xfId="0" applyFont="1" applyFill="1" applyBorder="1" applyAlignment="1">
      <alignment horizontal="center"/>
    </xf>
    <xf numFmtId="0" fontId="27" fillId="4" borderId="15" xfId="0" applyFont="1" applyFill="1" applyBorder="1" applyAlignment="1">
      <alignment horizontal="center"/>
    </xf>
    <xf numFmtId="0" fontId="27" fillId="4" borderId="0" xfId="0" applyFont="1" applyFill="1"/>
    <xf numFmtId="0" fontId="28" fillId="4" borderId="0" xfId="0" applyFont="1" applyFill="1"/>
    <xf numFmtId="0" fontId="27" fillId="5" borderId="16" xfId="0" applyFont="1" applyFill="1" applyBorder="1"/>
    <xf numFmtId="0" fontId="27" fillId="5" borderId="2" xfId="0" applyFont="1" applyFill="1" applyBorder="1" applyAlignment="1">
      <alignment horizontal="left" vertical="center"/>
    </xf>
    <xf numFmtId="0" fontId="27" fillId="5" borderId="2" xfId="0" applyFont="1" applyFill="1" applyBorder="1"/>
    <xf numFmtId="0" fontId="29" fillId="2" borderId="2" xfId="0" applyFont="1" applyFill="1" applyBorder="1"/>
    <xf numFmtId="0" fontId="29" fillId="5" borderId="2" xfId="0" applyFont="1" applyFill="1" applyBorder="1"/>
    <xf numFmtId="1" fontId="27" fillId="2" borderId="7" xfId="0" applyNumberFormat="1" applyFont="1" applyFill="1" applyBorder="1"/>
    <xf numFmtId="0" fontId="27" fillId="2" borderId="6" xfId="0" applyFont="1" applyFill="1" applyBorder="1"/>
    <xf numFmtId="0" fontId="27" fillId="2" borderId="15" xfId="0" applyFont="1" applyFill="1" applyBorder="1"/>
    <xf numFmtId="21" fontId="27" fillId="2" borderId="0" xfId="0" applyNumberFormat="1" applyFont="1" applyFill="1"/>
    <xf numFmtId="1" fontId="27" fillId="2" borderId="3" xfId="0" applyNumberFormat="1" applyFont="1" applyFill="1" applyBorder="1"/>
    <xf numFmtId="0" fontId="27" fillId="2" borderId="1" xfId="0" applyFont="1" applyFill="1" applyBorder="1"/>
    <xf numFmtId="21" fontId="27" fillId="2" borderId="2" xfId="0" applyNumberFormat="1" applyFont="1" applyFill="1" applyBorder="1"/>
    <xf numFmtId="0" fontId="27" fillId="2" borderId="5" xfId="0" applyFont="1" applyFill="1" applyBorder="1"/>
    <xf numFmtId="0" fontId="27" fillId="5" borderId="17" xfId="0" applyFont="1" applyFill="1" applyBorder="1" applyAlignment="1">
      <alignment horizontal="left" vertical="top"/>
    </xf>
    <xf numFmtId="0" fontId="27" fillId="2" borderId="12" xfId="0" applyFont="1" applyFill="1" applyBorder="1"/>
    <xf numFmtId="0" fontId="27" fillId="5" borderId="0" xfId="0" applyFont="1" applyFill="1" applyAlignment="1">
      <alignment horizontal="left" vertical="top"/>
    </xf>
    <xf numFmtId="0" fontId="29" fillId="2" borderId="0" xfId="0" applyFont="1" applyFill="1"/>
    <xf numFmtId="0" fontId="27" fillId="2" borderId="9" xfId="0" applyFont="1" applyFill="1" applyBorder="1"/>
    <xf numFmtId="0" fontId="29" fillId="5" borderId="2" xfId="0" applyFont="1" applyFill="1" applyBorder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169" fontId="23" fillId="0" borderId="2" xfId="0" applyNumberFormat="1" applyFont="1" applyBorder="1"/>
    <xf numFmtId="169" fontId="15" fillId="0" borderId="2" xfId="0" applyNumberFormat="1" applyFont="1" applyBorder="1"/>
    <xf numFmtId="0" fontId="16" fillId="0" borderId="2" xfId="0" applyFont="1" applyBorder="1"/>
    <xf numFmtId="0" fontId="0" fillId="0" borderId="18" xfId="0" pivotButton="1" applyBorder="1"/>
    <xf numFmtId="0" fontId="0" fillId="0" borderId="19" xfId="0" applyBorder="1"/>
    <xf numFmtId="0" fontId="0" fillId="0" borderId="18" xfId="0" applyBorder="1"/>
    <xf numFmtId="0" fontId="0" fillId="0" borderId="19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NumberFormat="1" applyBorder="1"/>
    <xf numFmtId="0" fontId="0" fillId="0" borderId="24" xfId="0" pivotButton="1" applyBorder="1"/>
    <xf numFmtId="4" fontId="0" fillId="0" borderId="24" xfId="0" applyNumberFormat="1" applyBorder="1"/>
  </cellXfs>
  <cellStyles count="1">
    <cellStyle name="Обычный" xfId="0" builtinId="0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Инфо-style" pivot="0" count="4" xr9:uid="{00000000-0011-0000-FFFF-FFFF00000000}">
      <tableStyleElement type="headerRow" dxfId="9"/>
      <tableStyleElement type="totalRow" dxfId="6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Горельский Евгений А." refreshedDate="45980.532464351854" refreshedVersion="8" recordCount="51" xr:uid="{00000000-000A-0000-FFFF-FFFF00000000}">
  <cacheSource type="worksheet">
    <worksheetSource ref="B1:AJ52" sheet="Отдел Продаж МП  "/>
  </cacheSource>
  <cacheFields count="35">
    <cacheField name="Фамилия Имя" numFmtId="0">
      <sharedItems containsBlank="1" count="12">
        <s v="Кузнецова Марина Борисовна"/>
        <s v="Чураева Марина Олеговна"/>
        <s v="Шарыпов Александр Александрович"/>
        <s v="Молчанова Надежда Николаевна"/>
        <s v="Ласточкина Наталья Михайловна"/>
        <s v="Лысова Ольга Павловна"/>
        <s v="Золотухина Елена Владимировна"/>
        <s v="Ермолаева Наталья Николаевна"/>
        <s v="Сабурова Ирина Андреевна"/>
        <s v="Подсевалов Павел Валерьевич"/>
        <s v="Усачева Светлана Вадимовна"/>
        <m/>
      </sharedItems>
    </cacheField>
    <cacheField name="Регион" numFmtId="0">
      <sharedItems count="4">
        <s v="Сибирский"/>
        <s v="Волжский"/>
        <s v=""/>
        <s v="Управление продаж"/>
      </sharedItems>
    </cacheField>
    <cacheField name="Должность" numFmtId="0">
      <sharedItems/>
    </cacheField>
    <cacheField name="Срок командировки" numFmtId="0">
      <sharedItems containsBlank="1" count="26">
        <s v="8 декабря"/>
        <s v="9 декабря"/>
        <s v="12 декабря"/>
        <s v="22 декабря"/>
        <s v="23 декабря"/>
        <s v="26 декабря"/>
        <s v="4-5 декабря"/>
        <s v="16-17 декабря"/>
        <s v="2 декабря"/>
        <s v="4 декабря"/>
        <s v="11 декабря"/>
        <s v="16 декабря"/>
        <s v="18 декабря"/>
        <s v="25 декабря"/>
        <s v="9-11 декабря"/>
        <s v="8-9 декабря"/>
        <s v="22-23 декабря"/>
        <s v="18-19 декабря"/>
        <s v="24 декабря"/>
        <m/>
        <s v="5 декабря"/>
        <s v="15 декабря"/>
        <s v="19 декабря"/>
        <s v="10-11 декабря"/>
        <s v="24-25 декабря"/>
        <s v=""/>
      </sharedItems>
    </cacheField>
    <cacheField name="Транспорт (Авиа, Ж/д, авто)" numFmtId="0">
      <sharedItems containsBlank="1" count="2">
        <s v="авто"/>
        <m/>
      </sharedItems>
    </cacheField>
    <cacheField name="Город проживания-Город командировок-Город проживания" numFmtId="0">
      <sharedItems containsBlank="1" count="26">
        <s v="Иркутск - Ангарск - Усолье-Сибирское - Иркутск"/>
        <s v="Иркутск - Шелехов - Иркутск"/>
        <s v="Иркутск - Хомутово-Урик - Иркутск"/>
        <s v="Пенза - Саранск - Пенза"/>
        <s v="Новосибирск - Искитим - Линёво - Новосибирск"/>
        <s v="Новосибирск - Бердск - Новосибирск"/>
        <s v="Барнаул - Бийск - Барнаул"/>
        <s v="Чебоксары - Канаш - Чебоксары"/>
        <s v="Чебоксары - Йошкар-Ола - Чебоксары"/>
        <s v="Кемерово- Белово- Ленинск-Кузнецкий-Кемерово"/>
        <s v="Оренбург - Соль-Илецк - Оренбург"/>
        <s v="Оренбург - Саракташ - Оренбург"/>
        <s v="Оренбург - Сорочинск- Бузулук - Оренбург"/>
        <s v="Оренбург - Пос. Каргала- Переволоцкий-Новосергиевка - Оренбург"/>
        <s v="Оренбург - Сакмара - Октябрьское - Оренбург"/>
        <s v="Самара - Жигулёвск - Самара"/>
        <s v="Самара - Тольятти - Самара"/>
        <s v="Екатеринбург - Большое Седельниково-Первомайский-Октябрьский-Кашино-Сысерть-Щелкун-Бобровский - Екатеринбург"/>
        <s v="Новокузнецк - Осинники - Калтан - Новокузнецк"/>
        <s v="Новокузнецк - Междуреченск - Мыски - Новокузнецк"/>
        <s v="Новокузнецк - Киселёвск - Новокузнецк"/>
        <s v="Новокузнецк - Киселёвск - Прокопьевск - Новокузнецк"/>
        <s v="Новокузнецк - Междуреченск - Новокузнецк"/>
        <s v="Вологда - Череповец - Вологда"/>
        <s v="Вологда - Шексна - Череповец - Вологда"/>
        <m/>
      </sharedItems>
    </cacheField>
    <cacheField name="КМ" numFmtId="0">
      <sharedItems containsMixedTypes="1" containsNumber="1" containsInteger="1" minValue="38" maxValue="510"/>
    </cacheField>
    <cacheField name="Кол-во аптек (для МП)" numFmtId="3">
      <sharedItems containsString="0" containsBlank="1" containsNumber="1" containsInteger="1" minValue="12" maxValue="34"/>
    </cacheField>
    <cacheField name="согласование от РД" numFmtId="4">
      <sharedItems containsBlank="1"/>
    </cacheField>
    <cacheField name="согласование от ДП" numFmtId="4">
      <sharedItems containsBlank="1" count="2">
        <s v="Согласовано"/>
        <m/>
      </sharedItems>
    </cacheField>
    <cacheField name="Цель" numFmtId="4">
      <sharedItems containsBlank="1"/>
    </cacheField>
    <cacheField name="Действие" numFmtId="4">
      <sharedItems containsBlank="1"/>
    </cacheField>
    <cacheField name="Ожидаемый Результат" numFmtId="4">
      <sharedItems containsBlank="1"/>
    </cacheField>
    <cacheField name="Число отправления из города" numFmtId="0">
      <sharedItems containsString="0" containsBlank="1" containsNumber="1" containsInteger="1" minValue="2" maxValue="26"/>
    </cacheField>
    <cacheField name="Время отправления из города" numFmtId="0">
      <sharedItems containsNonDate="0" containsDate="1" containsString="0" containsBlank="1" minDate="1899-12-30T07:00:00" maxDate="1899-12-30T09:00:00"/>
    </cacheField>
    <cacheField name="Число прибытия в командировочный город" numFmtId="0">
      <sharedItems containsString="0" containsBlank="1" containsNumber="1" containsInteger="1" minValue="2" maxValue="26"/>
    </cacheField>
    <cacheField name="Время прибытия в командировочный город" numFmtId="0">
      <sharedItems containsNonDate="0" containsDate="1" containsString="0" containsBlank="1" minDate="1899-12-30T09:00:00" maxDate="1899-12-30T11:00:00"/>
    </cacheField>
    <cacheField name="Число убытия из командировочного города" numFmtId="0">
      <sharedItems containsString="0" containsBlank="1" containsNumber="1" containsInteger="1" minValue="2" maxValue="26"/>
    </cacheField>
    <cacheField name="Время убытия из командировочного города" numFmtId="0">
      <sharedItems containsNonDate="0" containsDate="1" containsString="0" containsBlank="1" minDate="1899-12-30T16:00:00" maxDate="1899-12-30T17:00:00"/>
    </cacheField>
    <cacheField name="Число прибытия в город" numFmtId="0">
      <sharedItems containsString="0" containsBlank="1" containsNumber="1" containsInteger="1" minValue="2" maxValue="26"/>
    </cacheField>
    <cacheField name="Время прибытия в город" numFmtId="0">
      <sharedItems containsNonDate="0" containsDate="1" containsString="0" containsBlank="1" minDate="1899-12-30T18:00:00" maxDate="1899-12-30T19:00:00"/>
    </cacheField>
    <cacheField name="Комментарии" numFmtId="0">
      <sharedItems containsNonDate="0" containsString="0" containsBlank="1"/>
    </cacheField>
    <cacheField name="Заказ гостиницы Да/Нет" numFmtId="0">
      <sharedItems containsBlank="1"/>
    </cacheField>
    <cacheField name="Город командировки" numFmtId="0">
      <sharedItems containsBlank="1"/>
    </cacheField>
    <cacheField name="Название гостиницы" numFmtId="0">
      <sharedItems containsBlank="1"/>
    </cacheField>
    <cacheField name="Ссылка для выбора гостиниц" numFmtId="0">
      <sharedItems containsNonDate="0" containsString="0" containsBlank="1"/>
    </cacheField>
    <cacheField name="Комментарии2" numFmtId="0">
      <sharedItems containsNonDate="0" containsString="0" containsBlank="1"/>
    </cacheField>
    <cacheField name="Заказ Билетов Да/Нет" numFmtId="0">
      <sharedItems containsNonDate="0" containsString="0" containsBlank="1"/>
    </cacheField>
    <cacheField name="Город(а)" numFmtId="0">
      <sharedItems containsNonDate="0" containsString="0" containsBlank="1"/>
    </cacheField>
    <cacheField name="Ориентировочное время - когда надо ехать (туда)" numFmtId="20">
      <sharedItems containsNonDate="0" containsString="0" containsBlank="1"/>
    </cacheField>
    <cacheField name="Ориентировочное время - когда надо ехать (обратно)" numFmtId="20">
      <sharedItems containsNonDate="0" containsString="0" containsBlank="1"/>
    </cacheField>
    <cacheField name="Дней" numFmtId="164">
      <sharedItems containsMixedTypes="1" containsNumber="1" containsInteger="1" minValue="1" maxValue="3"/>
    </cacheField>
    <cacheField name="ночи" numFmtId="165">
      <sharedItems containsSemiMixedTypes="0" containsString="0" containsNumber="1" containsInteger="1" minValue="0" maxValue="2"/>
    </cacheField>
    <cacheField name="суточные (норма)" numFmtId="166">
      <sharedItems containsMixedTypes="1" containsNumber="1" containsInteger="1" minValue="1700" maxValue="1700"/>
    </cacheField>
    <cacheField name="Итог суточные" numFmtId="167">
      <sharedItems containsMixedTypes="1" containsNumber="1" containsInteger="1" minValue="0" maxValue="5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s v="Медицинский представитель ОТС"/>
    <x v="0"/>
    <x v="0"/>
    <x v="0"/>
    <n v="156"/>
    <n v="12"/>
    <s v="Согласовано"/>
    <x v="0"/>
    <s v="выполнение плана 4Q"/>
    <s v="выполнение плана 4Q"/>
    <s v="выполнение плана 4Q"/>
    <n v="8"/>
    <d v="1899-12-30T08:00:00"/>
    <n v="8"/>
    <d v="1899-12-30T10:00:00"/>
    <n v="8"/>
    <d v="1899-12-30T17:00:00"/>
    <n v="8"/>
    <d v="1899-12-30T19:00:00"/>
    <m/>
    <m/>
    <m/>
    <m/>
    <m/>
    <m/>
    <m/>
    <m/>
    <m/>
    <m/>
    <n v="1"/>
    <n v="0"/>
    <n v="1700"/>
    <n v="0"/>
  </r>
  <r>
    <x v="0"/>
    <x v="0"/>
    <s v="Медицинский представитель ОТС"/>
    <x v="1"/>
    <x v="0"/>
    <x v="1"/>
    <n v="38"/>
    <n v="12"/>
    <s v="Согласовано"/>
    <x v="0"/>
    <s v="выполнение плана 4Q"/>
    <s v="выполнение плана 4Q"/>
    <s v="выполнение плана 4Q"/>
    <n v="9"/>
    <d v="1899-12-30T08:00:00"/>
    <n v="9"/>
    <d v="1899-12-30T09:00:00"/>
    <n v="9"/>
    <d v="1899-12-30T17:00:00"/>
    <n v="9"/>
    <d v="1899-12-30T18:00:00"/>
    <m/>
    <m/>
    <m/>
    <m/>
    <m/>
    <m/>
    <m/>
    <m/>
    <m/>
    <m/>
    <n v="1"/>
    <n v="0"/>
    <n v="1700"/>
    <n v="0"/>
  </r>
  <r>
    <x v="0"/>
    <x v="0"/>
    <s v="Медицинский представитель ОТС"/>
    <x v="2"/>
    <x v="0"/>
    <x v="2"/>
    <n v="66"/>
    <n v="12"/>
    <s v="Согласовано"/>
    <x v="0"/>
    <s v="выполнение плана 4Q"/>
    <s v="выполнение плана 4Q"/>
    <s v="выполнение плана 4Q"/>
    <n v="12"/>
    <d v="1899-12-30T08:00:00"/>
    <n v="12"/>
    <d v="1899-12-30T09:00:00"/>
    <n v="12"/>
    <d v="1899-12-30T17:00:00"/>
    <n v="12"/>
    <d v="1899-12-30T18:00:00"/>
    <m/>
    <m/>
    <m/>
    <m/>
    <m/>
    <m/>
    <m/>
    <m/>
    <m/>
    <m/>
    <n v="1"/>
    <n v="0"/>
    <n v="1700"/>
    <n v="0"/>
  </r>
  <r>
    <x v="0"/>
    <x v="0"/>
    <s v="Медицинский представитель ОТС"/>
    <x v="3"/>
    <x v="0"/>
    <x v="0"/>
    <n v="156"/>
    <n v="12"/>
    <s v="Согласовано"/>
    <x v="0"/>
    <s v="выполнение плана 4Q"/>
    <s v="выполнение плана 4Q"/>
    <s v="выполнение плана 4Q"/>
    <n v="22"/>
    <d v="1899-12-30T08:00:00"/>
    <n v="22"/>
    <d v="1899-12-30T10:00:00"/>
    <n v="22"/>
    <d v="1899-12-30T17:00:00"/>
    <n v="22"/>
    <d v="1899-12-30T19:00:00"/>
    <m/>
    <m/>
    <m/>
    <m/>
    <m/>
    <m/>
    <m/>
    <m/>
    <m/>
    <m/>
    <n v="1"/>
    <n v="0"/>
    <n v="1700"/>
    <n v="0"/>
  </r>
  <r>
    <x v="0"/>
    <x v="0"/>
    <s v="Медицинский представитель ОТС"/>
    <x v="4"/>
    <x v="0"/>
    <x v="1"/>
    <n v="38"/>
    <n v="12"/>
    <s v="Согласовано"/>
    <x v="0"/>
    <s v="выполнение плана 4Q"/>
    <s v="выполнение плана 4Q"/>
    <s v="выполнение плана 4Q"/>
    <n v="23"/>
    <d v="1899-12-30T08:00:00"/>
    <n v="23"/>
    <d v="1899-12-30T09:00:00"/>
    <n v="23"/>
    <d v="1899-12-30T17:00:00"/>
    <n v="23"/>
    <d v="1899-12-30T18:00:00"/>
    <m/>
    <m/>
    <m/>
    <m/>
    <m/>
    <m/>
    <m/>
    <m/>
    <m/>
    <m/>
    <n v="1"/>
    <n v="0"/>
    <n v="1700"/>
    <n v="0"/>
  </r>
  <r>
    <x v="0"/>
    <x v="0"/>
    <s v="Медицинский представитель ОТС"/>
    <x v="5"/>
    <x v="0"/>
    <x v="2"/>
    <n v="66"/>
    <n v="12"/>
    <s v="Согласовано"/>
    <x v="0"/>
    <s v="выполнение плана 4Q"/>
    <s v="выполнение плана 4Q"/>
    <s v="выполнение плана 4Q"/>
    <n v="26"/>
    <d v="1899-12-30T08:00:00"/>
    <n v="26"/>
    <d v="1899-12-30T09:00:00"/>
    <n v="26"/>
    <d v="1899-12-30T17:00:00"/>
    <n v="26"/>
    <d v="1899-12-30T18:00:00"/>
    <m/>
    <m/>
    <m/>
    <m/>
    <m/>
    <m/>
    <m/>
    <m/>
    <m/>
    <m/>
    <n v="1"/>
    <n v="0"/>
    <n v="1700"/>
    <n v="0"/>
  </r>
  <r>
    <x v="1"/>
    <x v="1"/>
    <s v="Медицинский представитель ОТС"/>
    <x v="6"/>
    <x v="0"/>
    <x v="3"/>
    <n v="297"/>
    <n v="12"/>
    <m/>
    <x v="1"/>
    <s v="выполнение плана 4Q"/>
    <s v="выполнение плана 4Q"/>
    <s v="выполнение плана 4Q"/>
    <n v="4"/>
    <d v="1899-12-30T08:00:00"/>
    <n v="4"/>
    <d v="1899-12-30T10:00:00"/>
    <n v="5"/>
    <d v="1899-12-30T16:00:00"/>
    <n v="5"/>
    <d v="1899-12-30T18:00:00"/>
    <m/>
    <m/>
    <m/>
    <m/>
    <m/>
    <m/>
    <m/>
    <m/>
    <m/>
    <m/>
    <n v="2"/>
    <n v="1"/>
    <n v="1700"/>
    <n v="3400"/>
  </r>
  <r>
    <x v="1"/>
    <x v="1"/>
    <s v="Медицинский представитель ОТС"/>
    <x v="7"/>
    <x v="0"/>
    <x v="3"/>
    <n v="297"/>
    <n v="12"/>
    <m/>
    <x v="1"/>
    <s v="выполнение плана 4Q"/>
    <s v="выполнение плана 4Q"/>
    <s v="выполнение плана 4Q"/>
    <n v="16"/>
    <d v="1899-12-30T08:00:00"/>
    <n v="16"/>
    <d v="1899-12-30T10:00:00"/>
    <n v="17"/>
    <d v="1899-12-30T16:00:00"/>
    <n v="17"/>
    <d v="1899-12-30T18:00:00"/>
    <m/>
    <m/>
    <m/>
    <m/>
    <m/>
    <m/>
    <m/>
    <m/>
    <m/>
    <m/>
    <n v="2"/>
    <n v="1"/>
    <n v="1700"/>
    <n v="3400"/>
  </r>
  <r>
    <x v="2"/>
    <x v="0"/>
    <s v="Медицинский представитель ОТС"/>
    <x v="8"/>
    <x v="0"/>
    <x v="4"/>
    <n v="160"/>
    <n v="12"/>
    <m/>
    <x v="1"/>
    <s v="выполнение плана 4Q"/>
    <s v="выполнение плана 4Q"/>
    <s v="выполнение плана 4Q"/>
    <n v="2"/>
    <d v="1899-12-30T08:00:00"/>
    <n v="2"/>
    <d v="1899-12-30T10:00:00"/>
    <n v="2"/>
    <d v="1899-12-30T16:00:00"/>
    <n v="2"/>
    <d v="1899-12-30T18:00:00"/>
    <m/>
    <m/>
    <m/>
    <m/>
    <m/>
    <m/>
    <m/>
    <m/>
    <m/>
    <m/>
    <n v="1"/>
    <n v="0"/>
    <n v="1700"/>
    <n v="0"/>
  </r>
  <r>
    <x v="2"/>
    <x v="0"/>
    <s v="Медицинский представитель ОТС"/>
    <x v="9"/>
    <x v="0"/>
    <x v="5"/>
    <n v="75"/>
    <n v="12"/>
    <m/>
    <x v="1"/>
    <s v="выполнение плана 4Q"/>
    <s v="выполнение плана 4Q"/>
    <s v="выполнение плана 4Q"/>
    <n v="4"/>
    <d v="1899-12-30T08:00:00"/>
    <n v="4"/>
    <d v="1899-12-30T10:00:00"/>
    <n v="4"/>
    <d v="1899-12-30T16:00:00"/>
    <n v="4"/>
    <d v="1899-12-30T18:00:00"/>
    <m/>
    <m/>
    <m/>
    <m/>
    <m/>
    <m/>
    <m/>
    <m/>
    <m/>
    <m/>
    <n v="1"/>
    <n v="0"/>
    <n v="1700"/>
    <n v="0"/>
  </r>
  <r>
    <x v="2"/>
    <x v="0"/>
    <s v="Медицинский представитель ОТС"/>
    <x v="10"/>
    <x v="0"/>
    <x v="5"/>
    <n v="75"/>
    <n v="12"/>
    <m/>
    <x v="1"/>
    <s v="выполнение плана 4Q"/>
    <s v="выполнение плана 4Q"/>
    <s v="выполнение плана 4Q"/>
    <n v="11"/>
    <d v="1899-12-30T08:00:00"/>
    <n v="11"/>
    <d v="1899-12-30T10:00:00"/>
    <n v="11"/>
    <d v="1899-12-30T16:00:00"/>
    <n v="11"/>
    <d v="1899-12-30T18:00:00"/>
    <m/>
    <m/>
    <m/>
    <m/>
    <m/>
    <m/>
    <m/>
    <m/>
    <m/>
    <m/>
    <n v="1"/>
    <n v="0"/>
    <n v="1700"/>
    <n v="0"/>
  </r>
  <r>
    <x v="2"/>
    <x v="0"/>
    <s v="Медицинский представитель ОТС"/>
    <x v="11"/>
    <x v="0"/>
    <x v="4"/>
    <n v="160"/>
    <n v="12"/>
    <m/>
    <x v="1"/>
    <s v="выполнение плана 4Q"/>
    <s v="выполнение плана 4Q"/>
    <s v="выполнение плана 4Q"/>
    <n v="16"/>
    <d v="1899-12-30T08:00:00"/>
    <n v="16"/>
    <d v="1899-12-30T10:00:00"/>
    <n v="16"/>
    <d v="1899-12-30T16:00:00"/>
    <n v="16"/>
    <d v="1899-12-30T18:00:00"/>
    <m/>
    <m/>
    <m/>
    <m/>
    <m/>
    <m/>
    <m/>
    <m/>
    <m/>
    <m/>
    <n v="1"/>
    <n v="0"/>
    <n v="1700"/>
    <n v="0"/>
  </r>
  <r>
    <x v="2"/>
    <x v="0"/>
    <s v="Медицинский представитель ОТС"/>
    <x v="12"/>
    <x v="0"/>
    <x v="5"/>
    <n v="75"/>
    <n v="12"/>
    <m/>
    <x v="1"/>
    <s v="выполнение плана 4Q"/>
    <s v="выполнение плана 4Q"/>
    <s v="выполнение плана 4Q"/>
    <n v="18"/>
    <d v="1899-12-30T08:00:00"/>
    <n v="18"/>
    <d v="1899-12-30T10:00:00"/>
    <n v="18"/>
    <d v="1899-12-30T16:00:00"/>
    <n v="18"/>
    <d v="1899-12-30T18:00:00"/>
    <m/>
    <m/>
    <m/>
    <m/>
    <m/>
    <m/>
    <m/>
    <m/>
    <m/>
    <m/>
    <n v="1"/>
    <n v="0"/>
    <n v="1700"/>
    <n v="0"/>
  </r>
  <r>
    <x v="2"/>
    <x v="0"/>
    <s v="Медицинский представитель ОТС"/>
    <x v="13"/>
    <x v="0"/>
    <x v="5"/>
    <n v="75"/>
    <n v="12"/>
    <m/>
    <x v="1"/>
    <s v="выполнение плана 4Q"/>
    <s v="выполнение плана 4Q"/>
    <s v="выполнение плана 4Q"/>
    <n v="25"/>
    <d v="1899-12-30T08:00:00"/>
    <n v="25"/>
    <d v="1899-12-30T10:00:00"/>
    <n v="25"/>
    <d v="1899-12-30T16:00:00"/>
    <n v="25"/>
    <d v="1899-12-30T18:00:00"/>
    <m/>
    <m/>
    <m/>
    <m/>
    <m/>
    <m/>
    <m/>
    <m/>
    <m/>
    <m/>
    <n v="1"/>
    <n v="0"/>
    <n v="1700"/>
    <n v="0"/>
  </r>
  <r>
    <x v="3"/>
    <x v="0"/>
    <s v="Медицинский представитель ОТС"/>
    <x v="14"/>
    <x v="0"/>
    <x v="6"/>
    <n v="319"/>
    <n v="34"/>
    <s v="Согласовано"/>
    <x v="0"/>
    <s v="выполнение плана 4Q"/>
    <s v="выполнение плана 4Q"/>
    <s v="выполнение плана 4Q"/>
    <n v="9"/>
    <d v="1899-12-30T07:00:00"/>
    <n v="9"/>
    <d v="1899-12-30T09:00:00"/>
    <n v="11"/>
    <d v="1899-12-30T16:00:00"/>
    <n v="11"/>
    <d v="1899-12-30T18:00:00"/>
    <m/>
    <m/>
    <m/>
    <m/>
    <m/>
    <m/>
    <m/>
    <m/>
    <m/>
    <m/>
    <n v="3"/>
    <n v="2"/>
    <n v="1700"/>
    <n v="5100"/>
  </r>
  <r>
    <x v="4"/>
    <x v="1"/>
    <s v="Медицинский представитель ОТС"/>
    <x v="8"/>
    <x v="0"/>
    <x v="7"/>
    <n v="164"/>
    <n v="12"/>
    <m/>
    <x v="1"/>
    <s v="выполнение плана 4Q"/>
    <s v="выполнение плана 4Q"/>
    <s v="выполнение плана 4Q"/>
    <n v="2"/>
    <d v="1899-12-30T08:00:00"/>
    <n v="2"/>
    <d v="1899-12-30T09:00:00"/>
    <n v="2"/>
    <d v="1899-12-30T16:00:00"/>
    <n v="2"/>
    <d v="1899-12-30T18:00:00"/>
    <m/>
    <m/>
    <m/>
    <m/>
    <m/>
    <m/>
    <m/>
    <m/>
    <m/>
    <m/>
    <n v="1"/>
    <n v="0"/>
    <n v="1700"/>
    <n v="0"/>
  </r>
  <r>
    <x v="4"/>
    <x v="1"/>
    <s v="Медицинский представитель ОТС"/>
    <x v="9"/>
    <x v="0"/>
    <x v="8"/>
    <n v="186"/>
    <n v="14"/>
    <m/>
    <x v="1"/>
    <s v="выполнение плана 4Q"/>
    <s v="выполнение плана 4Q"/>
    <s v="выполнение плана 4Q"/>
    <n v="4"/>
    <d v="1899-12-30T07:00:00"/>
    <n v="4"/>
    <d v="1899-12-30T09:00:00"/>
    <n v="4"/>
    <d v="1899-12-30T16:00:00"/>
    <n v="4"/>
    <d v="1899-12-30T18:00:00"/>
    <m/>
    <m/>
    <m/>
    <m/>
    <m/>
    <m/>
    <m/>
    <m/>
    <m/>
    <m/>
    <n v="1"/>
    <n v="0"/>
    <n v="1700"/>
    <n v="0"/>
  </r>
  <r>
    <x v="4"/>
    <x v="1"/>
    <s v="Медицинский представитель ОТС"/>
    <x v="10"/>
    <x v="0"/>
    <x v="7"/>
    <n v="164"/>
    <n v="12"/>
    <m/>
    <x v="1"/>
    <s v="выполнение плана 4Q"/>
    <s v="выполнение плана 4Q"/>
    <s v="выполнение плана 4Q"/>
    <n v="11"/>
    <d v="1899-12-30T08:00:00"/>
    <n v="11"/>
    <d v="1899-12-30T09:00:00"/>
    <n v="11"/>
    <d v="1899-12-30T16:00:00"/>
    <n v="11"/>
    <d v="1899-12-30T18:00:00"/>
    <m/>
    <m/>
    <m/>
    <m/>
    <m/>
    <m/>
    <m/>
    <m/>
    <m/>
    <m/>
    <n v="1"/>
    <n v="0"/>
    <n v="1700"/>
    <n v="0"/>
  </r>
  <r>
    <x v="4"/>
    <x v="1"/>
    <s v="Медицинский представитель ОТС"/>
    <x v="11"/>
    <x v="0"/>
    <x v="7"/>
    <n v="164"/>
    <n v="12"/>
    <m/>
    <x v="1"/>
    <s v="выполнение плана 4Q"/>
    <s v="выполнение плана 4Q"/>
    <s v="выполнение плана 4Q"/>
    <n v="16"/>
    <d v="1899-12-30T08:00:00"/>
    <n v="16"/>
    <d v="1899-12-30T09:00:00"/>
    <n v="16"/>
    <d v="1899-12-30T16:00:00"/>
    <n v="16"/>
    <d v="1899-12-30T18:00:00"/>
    <m/>
    <m/>
    <m/>
    <m/>
    <m/>
    <m/>
    <m/>
    <m/>
    <m/>
    <m/>
    <n v="1"/>
    <n v="0"/>
    <n v="1700"/>
    <n v="0"/>
  </r>
  <r>
    <x v="4"/>
    <x v="1"/>
    <s v="Медицинский представитель ОТС"/>
    <x v="12"/>
    <x v="0"/>
    <x v="8"/>
    <n v="186"/>
    <n v="14"/>
    <m/>
    <x v="1"/>
    <s v="выполнение плана 4Q"/>
    <s v="выполнение плана 4Q"/>
    <s v="выполнение плана 4Q"/>
    <n v="18"/>
    <d v="1899-12-30T07:00:00"/>
    <n v="18"/>
    <d v="1899-12-30T09:00:00"/>
    <n v="18"/>
    <d v="1899-12-30T16:00:00"/>
    <n v="18"/>
    <d v="1899-12-30T18:00:00"/>
    <m/>
    <m/>
    <m/>
    <m/>
    <m/>
    <m/>
    <m/>
    <m/>
    <m/>
    <m/>
    <n v="1"/>
    <n v="0"/>
    <n v="1700"/>
    <n v="0"/>
  </r>
  <r>
    <x v="4"/>
    <x v="1"/>
    <s v="Медицинский представитель ОТС"/>
    <x v="13"/>
    <x v="0"/>
    <x v="7"/>
    <n v="164"/>
    <n v="12"/>
    <m/>
    <x v="1"/>
    <s v="выполнение плана 4Q"/>
    <s v="выполнение плана 4Q"/>
    <s v="выполнение плана 4Q"/>
    <n v="25"/>
    <d v="1899-12-30T08:00:00"/>
    <n v="25"/>
    <d v="1899-12-30T09:00:00"/>
    <n v="25"/>
    <d v="1899-12-30T16:00:00"/>
    <n v="25"/>
    <d v="1899-12-30T18:00:00"/>
    <m/>
    <m/>
    <m/>
    <m/>
    <m/>
    <m/>
    <m/>
    <m/>
    <m/>
    <m/>
    <n v="1"/>
    <n v="0"/>
    <n v="1700"/>
    <n v="0"/>
  </r>
  <r>
    <x v="5"/>
    <x v="0"/>
    <s v="Медицинский представитель ОТС"/>
    <x v="15"/>
    <x v="0"/>
    <x v="9"/>
    <n v="295"/>
    <n v="16"/>
    <s v="Согласовано"/>
    <x v="0"/>
    <s v="выполнение плана 4Q"/>
    <s v="посещение аптек  АКБ"/>
    <s v="выполнение плана 4Q"/>
    <n v="8"/>
    <d v="1899-12-30T09:00:00"/>
    <n v="8"/>
    <d v="1899-12-30T11:00:00"/>
    <n v="9"/>
    <d v="1899-12-30T17:00:00"/>
    <n v="9"/>
    <d v="1899-12-30T19:00:00"/>
    <m/>
    <s v="Да"/>
    <s v="Белово"/>
    <s v="Астра"/>
    <m/>
    <m/>
    <m/>
    <m/>
    <m/>
    <m/>
    <n v="2"/>
    <n v="1"/>
    <n v="1700"/>
    <n v="3400"/>
  </r>
  <r>
    <x v="5"/>
    <x v="0"/>
    <s v="Медицинский представитель ОТС"/>
    <x v="16"/>
    <x v="0"/>
    <x v="9"/>
    <n v="295"/>
    <n v="14"/>
    <s v="Согласовано"/>
    <x v="0"/>
    <s v="выполнение плана 4Q"/>
    <s v="посещение аптек  АКБ"/>
    <s v="выполнение плана 4Q"/>
    <n v="22"/>
    <d v="1899-12-30T09:00:00"/>
    <n v="22"/>
    <d v="1899-12-30T11:00:00"/>
    <n v="23"/>
    <d v="1899-12-30T17:00:00"/>
    <n v="23"/>
    <d v="1899-12-30T19:00:00"/>
    <m/>
    <s v="Да"/>
    <s v="Белово"/>
    <s v="Астра"/>
    <m/>
    <m/>
    <m/>
    <m/>
    <m/>
    <m/>
    <n v="2"/>
    <n v="1"/>
    <n v="1700"/>
    <n v="3400"/>
  </r>
  <r>
    <x v="6"/>
    <x v="1"/>
    <s v="Медицинский представитель ОТС"/>
    <x v="8"/>
    <x v="0"/>
    <x v="10"/>
    <n v="146"/>
    <n v="12"/>
    <m/>
    <x v="1"/>
    <s v="выполнение плана 4Q"/>
    <s v="выполнение плана 4Q"/>
    <s v="выполнение плана 4Q"/>
    <n v="2"/>
    <m/>
    <n v="2"/>
    <m/>
    <n v="2"/>
    <m/>
    <n v="2"/>
    <m/>
    <m/>
    <m/>
    <m/>
    <m/>
    <m/>
    <m/>
    <m/>
    <m/>
    <m/>
    <m/>
    <s v=""/>
    <n v="0"/>
    <n v="1700"/>
    <e v="#VALUE!"/>
  </r>
  <r>
    <x v="6"/>
    <x v="1"/>
    <s v="Медицинский представитель ОТС"/>
    <x v="9"/>
    <x v="0"/>
    <x v="11"/>
    <n v="191"/>
    <n v="14"/>
    <m/>
    <x v="1"/>
    <s v="выполнение плана 4Q"/>
    <s v="выполнение плана 4Q"/>
    <s v="выполнение плана 4Q"/>
    <n v="4"/>
    <m/>
    <n v="4"/>
    <m/>
    <n v="4"/>
    <m/>
    <n v="4"/>
    <m/>
    <m/>
    <m/>
    <m/>
    <m/>
    <m/>
    <m/>
    <m/>
    <m/>
    <m/>
    <m/>
    <s v=""/>
    <n v="0"/>
    <n v="1700"/>
    <e v="#VALUE!"/>
  </r>
  <r>
    <x v="6"/>
    <x v="1"/>
    <s v="Медицинский представитель ОТС"/>
    <x v="17"/>
    <x v="0"/>
    <x v="12"/>
    <n v="510"/>
    <n v="24"/>
    <m/>
    <x v="1"/>
    <s v="выполнение плана 4Q"/>
    <s v="выполнение плана 4Q"/>
    <s v="выполнение плана 4Q"/>
    <n v="18"/>
    <m/>
    <n v="18"/>
    <m/>
    <n v="19"/>
    <m/>
    <n v="19"/>
    <m/>
    <m/>
    <s v="Да"/>
    <s v="Бузулук"/>
    <m/>
    <m/>
    <m/>
    <m/>
    <m/>
    <m/>
    <m/>
    <s v=""/>
    <n v="1"/>
    <n v="1700"/>
    <e v="#VALUE!"/>
  </r>
  <r>
    <x v="6"/>
    <x v="1"/>
    <s v="Медицинский представитель ОТС"/>
    <x v="4"/>
    <x v="0"/>
    <x v="13"/>
    <n v="250"/>
    <n v="14"/>
    <m/>
    <x v="1"/>
    <s v="выполнение плана 4Q"/>
    <s v="выполнение плана 4Q"/>
    <s v="выполнение плана 4Q"/>
    <n v="23"/>
    <m/>
    <n v="23"/>
    <m/>
    <n v="23"/>
    <d v="1899-12-30T16:00:00"/>
    <n v="23"/>
    <d v="1899-12-30T18:00:00"/>
    <m/>
    <m/>
    <m/>
    <m/>
    <m/>
    <m/>
    <m/>
    <m/>
    <m/>
    <m/>
    <n v="1"/>
    <n v="0"/>
    <n v="1700"/>
    <n v="0"/>
  </r>
  <r>
    <x v="6"/>
    <x v="1"/>
    <s v="Медицинский представитель ОТС"/>
    <x v="13"/>
    <x v="0"/>
    <x v="14"/>
    <n v="170"/>
    <n v="14"/>
    <m/>
    <x v="1"/>
    <s v="выполнение плана 4Q"/>
    <s v="выполнение плана 4Q"/>
    <s v="выполнение плана 4Q"/>
    <n v="25"/>
    <m/>
    <n v="25"/>
    <m/>
    <n v="25"/>
    <m/>
    <n v="25"/>
    <m/>
    <m/>
    <m/>
    <m/>
    <m/>
    <m/>
    <m/>
    <m/>
    <m/>
    <m/>
    <m/>
    <s v=""/>
    <n v="0"/>
    <n v="1700"/>
    <e v="#VALUE!"/>
  </r>
  <r>
    <x v="7"/>
    <x v="1"/>
    <s v="Медицинский представитель ОТС"/>
    <x v="9"/>
    <x v="0"/>
    <x v="15"/>
    <n v="178"/>
    <n v="14"/>
    <m/>
    <x v="1"/>
    <s v="выполнение плана 4Q"/>
    <s v="выполнение плана 4Q"/>
    <s v="выполнение плана 4Q"/>
    <n v="4"/>
    <d v="1899-12-30T08:00:00"/>
    <n v="4"/>
    <d v="1899-12-30T09:00:00"/>
    <n v="4"/>
    <d v="1899-12-30T17:00:00"/>
    <n v="4"/>
    <d v="1899-12-30T19:00:00"/>
    <m/>
    <m/>
    <m/>
    <m/>
    <m/>
    <m/>
    <m/>
    <m/>
    <m/>
    <m/>
    <n v="1"/>
    <n v="0"/>
    <n v="1700"/>
    <n v="0"/>
  </r>
  <r>
    <x v="7"/>
    <x v="1"/>
    <s v="Медицинский представитель ОТС"/>
    <x v="10"/>
    <x v="0"/>
    <x v="16"/>
    <n v="177"/>
    <n v="14"/>
    <m/>
    <x v="1"/>
    <s v="выполнение плана 4Q"/>
    <s v="выполнение плана 4Q"/>
    <s v="выполнение плана 4Q"/>
    <n v="11"/>
    <d v="1899-12-30T08:00:00"/>
    <n v="11"/>
    <d v="1899-12-30T09:00:00"/>
    <n v="11"/>
    <d v="1899-12-30T17:00:00"/>
    <n v="11"/>
    <d v="1899-12-30T19:00:00"/>
    <m/>
    <m/>
    <m/>
    <m/>
    <m/>
    <m/>
    <m/>
    <m/>
    <m/>
    <m/>
    <n v="1"/>
    <n v="0"/>
    <n v="1700"/>
    <n v="0"/>
  </r>
  <r>
    <x v="7"/>
    <x v="1"/>
    <s v="Медицинский представитель ОТС"/>
    <x v="12"/>
    <x v="0"/>
    <x v="15"/>
    <n v="178"/>
    <n v="14"/>
    <m/>
    <x v="1"/>
    <s v="выполнение плана 4Q"/>
    <s v="выполнение плана 4Q"/>
    <s v="выполнение плана 4Q"/>
    <n v="18"/>
    <d v="1899-12-30T08:00:00"/>
    <n v="18"/>
    <d v="1899-12-30T09:00:00"/>
    <n v="18"/>
    <d v="1899-12-30T17:00:00"/>
    <n v="18"/>
    <d v="1899-12-30T19:00:00"/>
    <m/>
    <m/>
    <m/>
    <m/>
    <m/>
    <m/>
    <m/>
    <m/>
    <m/>
    <m/>
    <n v="1"/>
    <n v="0"/>
    <n v="1700"/>
    <n v="0"/>
  </r>
  <r>
    <x v="7"/>
    <x v="1"/>
    <s v="Медицинский представитель ОТС"/>
    <x v="18"/>
    <x v="0"/>
    <x v="16"/>
    <n v="177"/>
    <n v="14"/>
    <m/>
    <x v="1"/>
    <s v="выполнение плана 4Q"/>
    <s v="выполнение плана 4Q"/>
    <s v="выполнение плана 4Q"/>
    <n v="24"/>
    <d v="1899-12-30T08:00:00"/>
    <n v="24"/>
    <d v="1899-12-30T09:00:00"/>
    <n v="24"/>
    <d v="1899-12-30T17:00:00"/>
    <n v="24"/>
    <d v="1899-12-30T19:00:00"/>
    <m/>
    <m/>
    <m/>
    <m/>
    <m/>
    <m/>
    <m/>
    <m/>
    <m/>
    <m/>
    <n v="1"/>
    <n v="0"/>
    <n v="1700"/>
    <n v="0"/>
  </r>
  <r>
    <x v="8"/>
    <x v="1"/>
    <s v="Медицинский представитель ОТС"/>
    <x v="10"/>
    <x v="0"/>
    <x v="17"/>
    <n v="194"/>
    <n v="12"/>
    <m/>
    <x v="1"/>
    <s v="выполнение плана 4Q"/>
    <s v="выполнение плана 4Q"/>
    <s v="выполнение плана 4Q"/>
    <n v="11"/>
    <d v="1899-12-30T08:00:00"/>
    <n v="11"/>
    <d v="1899-12-30T09:00:00"/>
    <n v="11"/>
    <d v="1899-12-30T17:00:00"/>
    <n v="11"/>
    <d v="1899-12-30T18:00:00"/>
    <m/>
    <m/>
    <m/>
    <m/>
    <m/>
    <m/>
    <m/>
    <m/>
    <m/>
    <m/>
    <n v="1"/>
    <n v="0"/>
    <n v="1700"/>
    <n v="0"/>
  </r>
  <r>
    <x v="8"/>
    <x v="1"/>
    <s v="Медицинский представитель ОТС"/>
    <x v="13"/>
    <x v="0"/>
    <x v="17"/>
    <n v="194"/>
    <n v="12"/>
    <m/>
    <x v="1"/>
    <s v="выполнение плана 4Q"/>
    <s v="выполнение плана 4Q"/>
    <s v="выполнение плана 4Q"/>
    <n v="25"/>
    <d v="1899-12-30T08:00:00"/>
    <n v="25"/>
    <d v="1899-12-30T09:00:00"/>
    <n v="25"/>
    <d v="1899-12-30T17:00:00"/>
    <n v="25"/>
    <d v="1899-12-30T18:00:00"/>
    <m/>
    <m/>
    <m/>
    <m/>
    <m/>
    <m/>
    <m/>
    <m/>
    <m/>
    <m/>
    <n v="1"/>
    <n v="0"/>
    <n v="1700"/>
    <n v="0"/>
  </r>
  <r>
    <x v="9"/>
    <x v="2"/>
    <s v=""/>
    <x v="19"/>
    <x v="0"/>
    <x v="18"/>
    <n v="92"/>
    <n v="14"/>
    <m/>
    <x v="1"/>
    <s v="выполнение плана 4Q"/>
    <s v="выполнение плана 4Q"/>
    <s v="выполнение плана 4Q"/>
    <n v="2"/>
    <d v="1899-12-30T08:00:00"/>
    <n v="2"/>
    <d v="1899-12-30T09:00:00"/>
    <n v="2"/>
    <d v="1899-12-30T17:00:00"/>
    <n v="2"/>
    <d v="1899-12-30T18:00:00"/>
    <m/>
    <m/>
    <m/>
    <m/>
    <m/>
    <m/>
    <m/>
    <m/>
    <m/>
    <m/>
    <n v="1"/>
    <n v="0"/>
    <s v=""/>
    <n v="0"/>
  </r>
  <r>
    <x v="9"/>
    <x v="0"/>
    <s v="Медицинский представитель ОТС"/>
    <x v="20"/>
    <x v="0"/>
    <x v="19"/>
    <n v="157"/>
    <n v="12"/>
    <m/>
    <x v="1"/>
    <s v="выполнение плана 4Q"/>
    <s v="выполнение плана 4Q"/>
    <s v="выполнение плана 4Q"/>
    <n v="5"/>
    <d v="1899-12-30T08:00:00"/>
    <n v="5"/>
    <d v="1899-12-30T09:00:00"/>
    <n v="5"/>
    <d v="1899-12-30T17:00:00"/>
    <n v="5"/>
    <d v="1899-12-30T18:00:00"/>
    <m/>
    <m/>
    <m/>
    <m/>
    <m/>
    <m/>
    <m/>
    <m/>
    <m/>
    <m/>
    <n v="1"/>
    <n v="0"/>
    <n v="1700"/>
    <n v="0"/>
  </r>
  <r>
    <x v="9"/>
    <x v="0"/>
    <s v="Медицинский представитель ОТС"/>
    <x v="0"/>
    <x v="0"/>
    <x v="20"/>
    <n v="120"/>
    <n v="12"/>
    <m/>
    <x v="1"/>
    <s v="выполнение плана 4Q"/>
    <s v="выполнение плана 4Q"/>
    <s v="выполнение плана 4Q"/>
    <n v="8"/>
    <d v="1899-12-30T08:00:00"/>
    <n v="8"/>
    <d v="1899-12-30T09:00:00"/>
    <n v="8"/>
    <d v="1899-12-30T17:00:00"/>
    <n v="8"/>
    <d v="1899-12-30T18:00:00"/>
    <m/>
    <m/>
    <m/>
    <m/>
    <m/>
    <m/>
    <m/>
    <m/>
    <m/>
    <m/>
    <n v="1"/>
    <n v="0"/>
    <n v="1700"/>
    <n v="0"/>
  </r>
  <r>
    <x v="9"/>
    <x v="0"/>
    <s v="Медицинский представитель ОТС"/>
    <x v="1"/>
    <x v="0"/>
    <x v="21"/>
    <n v="118"/>
    <n v="16"/>
    <m/>
    <x v="1"/>
    <s v="выполнение плана 4Q"/>
    <s v="выполнение плана 4Q"/>
    <s v="выполнение плана 4Q"/>
    <n v="9"/>
    <d v="1899-12-30T08:00:00"/>
    <n v="9"/>
    <d v="1899-12-30T09:00:00"/>
    <n v="9"/>
    <d v="1899-12-30T17:00:00"/>
    <n v="9"/>
    <d v="1899-12-30T18:00:00"/>
    <m/>
    <m/>
    <m/>
    <m/>
    <m/>
    <m/>
    <m/>
    <m/>
    <m/>
    <m/>
    <n v="1"/>
    <n v="0"/>
    <n v="1700"/>
    <n v="0"/>
  </r>
  <r>
    <x v="9"/>
    <x v="0"/>
    <s v="Медицинский представитель ОТС"/>
    <x v="2"/>
    <x v="0"/>
    <x v="22"/>
    <n v="157"/>
    <n v="12"/>
    <m/>
    <x v="1"/>
    <s v="выполнение плана 4Q"/>
    <s v="выполнение плана 4Q"/>
    <s v="выполнение плана 4Q"/>
    <n v="12"/>
    <d v="1899-12-30T08:00:00"/>
    <n v="12"/>
    <d v="1899-12-30T09:00:00"/>
    <n v="12"/>
    <d v="1899-12-30T17:00:00"/>
    <n v="12"/>
    <d v="1899-12-30T18:00:00"/>
    <m/>
    <m/>
    <m/>
    <m/>
    <m/>
    <m/>
    <m/>
    <m/>
    <m/>
    <m/>
    <n v="1"/>
    <n v="0"/>
    <n v="1700"/>
    <n v="0"/>
  </r>
  <r>
    <x v="9"/>
    <x v="0"/>
    <s v="Медицинский представитель ОТС"/>
    <x v="21"/>
    <x v="0"/>
    <x v="18"/>
    <n v="92"/>
    <n v="14"/>
    <m/>
    <x v="1"/>
    <s v="выполнение плана 4Q"/>
    <s v="выполнение плана 4Q"/>
    <s v="выполнение плана 4Q"/>
    <n v="15"/>
    <d v="1899-12-30T08:00:00"/>
    <n v="15"/>
    <d v="1899-12-30T09:00:00"/>
    <n v="15"/>
    <d v="1899-12-30T17:00:00"/>
    <n v="15"/>
    <d v="1899-12-30T18:00:00"/>
    <m/>
    <m/>
    <m/>
    <m/>
    <m/>
    <m/>
    <m/>
    <m/>
    <m/>
    <m/>
    <n v="1"/>
    <n v="0"/>
    <n v="1700"/>
    <n v="0"/>
  </r>
  <r>
    <x v="9"/>
    <x v="0"/>
    <s v="Медицинский представитель ОТС"/>
    <x v="22"/>
    <x v="0"/>
    <x v="19"/>
    <n v="157"/>
    <n v="12"/>
    <m/>
    <x v="1"/>
    <s v="выполнение плана 4Q"/>
    <s v="выполнение плана 4Q"/>
    <s v="выполнение плана 4Q"/>
    <n v="19"/>
    <d v="1899-12-30T08:00:00"/>
    <n v="19"/>
    <d v="1899-12-30T09:00:00"/>
    <n v="19"/>
    <d v="1899-12-30T17:00:00"/>
    <n v="19"/>
    <d v="1899-12-30T18:00:00"/>
    <m/>
    <m/>
    <m/>
    <m/>
    <m/>
    <m/>
    <m/>
    <m/>
    <m/>
    <m/>
    <n v="1"/>
    <n v="0"/>
    <n v="1700"/>
    <n v="0"/>
  </r>
  <r>
    <x v="9"/>
    <x v="0"/>
    <s v="Медицинский представитель ОТС"/>
    <x v="3"/>
    <x v="0"/>
    <x v="21"/>
    <n v="118"/>
    <n v="16"/>
    <m/>
    <x v="1"/>
    <s v="выполнение плана 4Q"/>
    <s v="выполнение плана 4Q"/>
    <s v="выполнение плана 4Q"/>
    <n v="22"/>
    <d v="1899-12-30T08:00:00"/>
    <n v="22"/>
    <d v="1899-12-30T09:00:00"/>
    <n v="22"/>
    <d v="1899-12-30T17:00:00"/>
    <n v="22"/>
    <d v="1899-12-30T18:00:00"/>
    <m/>
    <m/>
    <m/>
    <m/>
    <m/>
    <m/>
    <m/>
    <m/>
    <m/>
    <m/>
    <n v="1"/>
    <n v="0"/>
    <n v="1700"/>
    <n v="0"/>
  </r>
  <r>
    <x v="9"/>
    <x v="0"/>
    <s v="Медицинский представитель ОТС"/>
    <x v="4"/>
    <x v="0"/>
    <x v="20"/>
    <n v="120"/>
    <n v="12"/>
    <m/>
    <x v="1"/>
    <s v="выполнение плана 4Q"/>
    <s v="выполнение плана 4Q"/>
    <s v="выполнение плана 4Q"/>
    <n v="23"/>
    <d v="1899-12-30T08:00:00"/>
    <n v="23"/>
    <d v="1899-12-30T09:00:00"/>
    <n v="23"/>
    <d v="1899-12-30T17:00:00"/>
    <n v="23"/>
    <d v="1899-12-30T18:00:00"/>
    <m/>
    <m/>
    <m/>
    <m/>
    <m/>
    <m/>
    <m/>
    <m/>
    <m/>
    <m/>
    <n v="1"/>
    <n v="0"/>
    <n v="1700"/>
    <n v="0"/>
  </r>
  <r>
    <x v="9"/>
    <x v="0"/>
    <s v="Медицинский представитель ОТС"/>
    <x v="5"/>
    <x v="0"/>
    <x v="22"/>
    <n v="157"/>
    <n v="12"/>
    <m/>
    <x v="1"/>
    <s v="выполнение плана 4Q"/>
    <s v="выполнение плана 4Q"/>
    <s v="выполнение плана 4Q"/>
    <n v="26"/>
    <d v="1899-12-30T08:00:00"/>
    <n v="26"/>
    <d v="1899-12-30T09:00:00"/>
    <n v="26"/>
    <d v="1899-12-30T17:00:00"/>
    <n v="26"/>
    <d v="1899-12-30T18:00:00"/>
    <m/>
    <m/>
    <m/>
    <m/>
    <m/>
    <m/>
    <m/>
    <m/>
    <m/>
    <m/>
    <n v="1"/>
    <n v="0"/>
    <n v="1700"/>
    <n v="0"/>
  </r>
  <r>
    <x v="10"/>
    <x v="3"/>
    <s v="Медицинский представитель ОТС"/>
    <x v="23"/>
    <x v="0"/>
    <x v="23"/>
    <n v="272"/>
    <n v="24"/>
    <m/>
    <x v="1"/>
    <s v="выполнение плана 4Q"/>
    <s v="выполнение плана 4Q"/>
    <s v="выполнение плана 4Q"/>
    <n v="10"/>
    <d v="1899-12-30T08:00:00"/>
    <n v="10"/>
    <d v="1899-12-30T10:00:00"/>
    <n v="11"/>
    <d v="1899-12-30T16:00:00"/>
    <n v="11"/>
    <d v="1899-12-30T18:00:00"/>
    <m/>
    <m/>
    <m/>
    <m/>
    <m/>
    <m/>
    <m/>
    <m/>
    <m/>
    <m/>
    <n v="2"/>
    <n v="1"/>
    <n v="1700"/>
    <n v="3400"/>
  </r>
  <r>
    <x v="10"/>
    <x v="3"/>
    <s v="Медицинский представитель ОТС"/>
    <x v="24"/>
    <x v="0"/>
    <x v="24"/>
    <n v="282"/>
    <n v="24"/>
    <m/>
    <x v="1"/>
    <s v="выполнение плана 4Q"/>
    <s v="выполнение плана 4Q"/>
    <s v="выполнение плана 4Q"/>
    <n v="24"/>
    <d v="1899-12-30T08:00:00"/>
    <n v="24"/>
    <d v="1899-12-30T10:00:00"/>
    <n v="25"/>
    <d v="1899-12-30T16:00:00"/>
    <n v="25"/>
    <d v="1899-12-30T18:00:00"/>
    <m/>
    <m/>
    <m/>
    <m/>
    <m/>
    <m/>
    <m/>
    <m/>
    <m/>
    <m/>
    <n v="2"/>
    <n v="1"/>
    <n v="1700"/>
    <n v="3400"/>
  </r>
  <r>
    <x v="11"/>
    <x v="2"/>
    <s v=""/>
    <x v="25"/>
    <x v="1"/>
    <x v="25"/>
    <s v=""/>
    <m/>
    <m/>
    <x v="1"/>
    <m/>
    <m/>
    <m/>
    <m/>
    <m/>
    <m/>
    <m/>
    <m/>
    <m/>
    <m/>
    <m/>
    <m/>
    <m/>
    <m/>
    <m/>
    <m/>
    <m/>
    <m/>
    <m/>
    <m/>
    <m/>
    <s v=""/>
    <n v="0"/>
    <s v=""/>
    <e v="#VALUE!"/>
  </r>
  <r>
    <x v="11"/>
    <x v="2"/>
    <s v=""/>
    <x v="25"/>
    <x v="1"/>
    <x v="25"/>
    <s v=""/>
    <m/>
    <m/>
    <x v="1"/>
    <m/>
    <m/>
    <m/>
    <m/>
    <m/>
    <m/>
    <m/>
    <m/>
    <m/>
    <m/>
    <m/>
    <m/>
    <m/>
    <m/>
    <m/>
    <m/>
    <m/>
    <m/>
    <m/>
    <m/>
    <m/>
    <s v=""/>
    <n v="0"/>
    <s v=""/>
    <e v="#VALUE!"/>
  </r>
  <r>
    <x v="11"/>
    <x v="2"/>
    <s v=""/>
    <x v="25"/>
    <x v="1"/>
    <x v="25"/>
    <s v=""/>
    <m/>
    <m/>
    <x v="1"/>
    <m/>
    <m/>
    <m/>
    <m/>
    <m/>
    <m/>
    <m/>
    <m/>
    <m/>
    <m/>
    <m/>
    <m/>
    <m/>
    <m/>
    <m/>
    <m/>
    <m/>
    <m/>
    <m/>
    <m/>
    <m/>
    <s v=""/>
    <n v="0"/>
    <s v=""/>
    <e v="#VALUE!"/>
  </r>
  <r>
    <x v="11"/>
    <x v="2"/>
    <s v=""/>
    <x v="25"/>
    <x v="1"/>
    <x v="25"/>
    <s v=""/>
    <m/>
    <m/>
    <x v="1"/>
    <m/>
    <m/>
    <m/>
    <m/>
    <m/>
    <m/>
    <m/>
    <m/>
    <m/>
    <m/>
    <m/>
    <m/>
    <m/>
    <m/>
    <m/>
    <m/>
    <m/>
    <m/>
    <m/>
    <m/>
    <m/>
    <s v=""/>
    <n v="0"/>
    <s v=""/>
    <e v="#VALUE!"/>
  </r>
  <r>
    <x v="11"/>
    <x v="2"/>
    <s v=""/>
    <x v="25"/>
    <x v="1"/>
    <x v="25"/>
    <s v=""/>
    <m/>
    <m/>
    <x v="1"/>
    <m/>
    <m/>
    <m/>
    <m/>
    <m/>
    <m/>
    <m/>
    <m/>
    <m/>
    <m/>
    <m/>
    <m/>
    <m/>
    <m/>
    <m/>
    <m/>
    <m/>
    <m/>
    <m/>
    <m/>
    <m/>
    <s v=""/>
    <n v="0"/>
    <s v="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 для печати" cacheId="9" applyNumberFormats="0" applyBorderFormats="0" applyFontFormats="0" applyPatternFormats="0" applyAlignmentFormats="0" applyWidthHeightFormats="0" dataCaption="" updatedVersion="8" compact="0" compactData="0">
  <location ref="A4:F17" firstHeaderRow="1" firstDataRow="1" firstDataCol="5" rowPageCount="1" colPageCount="1"/>
  <pivotFields count="35">
    <pivotField name="Фамилия Имя" axis="axisRow" compact="0" outline="0" multipleItemSelectionAllowed="1" showAll="0" sortType="ascending">
      <items count="13">
        <item x="7"/>
        <item x="6"/>
        <item x="0"/>
        <item x="4"/>
        <item x="5"/>
        <item x="3"/>
        <item x="9"/>
        <item x="8"/>
        <item x="10"/>
        <item x="1"/>
        <item x="2"/>
        <item x="11"/>
        <item t="default"/>
      </items>
    </pivotField>
    <pivotField name="Регион" axis="axisRow" compact="0" outline="0" multipleItemSelectionAllowed="1" showAll="0" sortType="ascending" defaultSubtotal="0">
      <items count="4">
        <item x="2"/>
        <item x="1"/>
        <item x="0"/>
        <item x="3"/>
      </items>
    </pivotField>
    <pivotField name="Должность" compact="0" outline="0" multipleItemSelectionAllowed="1" showAll="0"/>
    <pivotField name="Срок командировки" axis="axisRow" compact="0" outline="0" multipleItemSelectionAllowed="1" showAll="0" sortType="ascending" defaultSubtotal="0">
      <items count="26">
        <item x="25"/>
        <item x="23"/>
        <item x="10"/>
        <item x="2"/>
        <item x="21"/>
        <item x="11"/>
        <item x="7"/>
        <item x="12"/>
        <item x="17"/>
        <item x="22"/>
        <item x="8"/>
        <item x="3"/>
        <item x="16"/>
        <item x="4"/>
        <item x="18"/>
        <item x="24"/>
        <item x="13"/>
        <item x="5"/>
        <item x="9"/>
        <item x="6"/>
        <item x="20"/>
        <item x="0"/>
        <item x="15"/>
        <item x="1"/>
        <item x="14"/>
        <item x="19"/>
      </items>
    </pivotField>
    <pivotField name="Транспорт (Авиа, Ж/д, авто)" axis="axisRow" compact="0" outline="0" multipleItemSelectionAllowed="1" showAll="0" sortType="ascending">
      <items count="3">
        <item x="0"/>
        <item x="1"/>
        <item t="default"/>
      </items>
    </pivotField>
    <pivotField name="Город проживания-Город командировок-Город проживания" axis="axisRow" compact="0" outline="0" multipleItemSelectionAllowed="1" showAll="0" sortType="ascending" defaultSubtotal="0">
      <items count="26">
        <item x="6"/>
        <item x="23"/>
        <item x="24"/>
        <item x="17"/>
        <item x="0"/>
        <item x="2"/>
        <item x="1"/>
        <item x="9"/>
        <item x="20"/>
        <item x="21"/>
        <item x="19"/>
        <item x="22"/>
        <item x="18"/>
        <item x="5"/>
        <item x="4"/>
        <item x="13"/>
        <item x="14"/>
        <item x="11"/>
        <item x="10"/>
        <item x="12"/>
        <item x="3"/>
        <item x="15"/>
        <item x="16"/>
        <item x="8"/>
        <item x="7"/>
        <item x="25"/>
      </items>
    </pivotField>
    <pivotField name="КМ" compact="0" outline="0" multipleItemSelectionAllowed="1" showAll="0"/>
    <pivotField name="Кол-во аптек (для МП)" compact="0" numFmtId="3" outline="0" multipleItemSelectionAllowed="1" showAll="0"/>
    <pivotField name="согласование от РД" compact="0" numFmtId="4" outline="0" multipleItemSelectionAllowed="1" showAll="0"/>
    <pivotField name="согласование от ДП" axis="axisPage" compact="0" numFmtId="4" outline="0" multipleItemSelectionAllowed="1" showAll="0">
      <items count="3">
        <item x="0"/>
        <item h="1" x="1"/>
        <item t="default"/>
      </items>
    </pivotField>
    <pivotField name="Цель" compact="0" numFmtId="4" outline="0" multipleItemSelectionAllowed="1" showAll="0"/>
    <pivotField name="Действие" compact="0" numFmtId="4" outline="0" multipleItemSelectionAllowed="1" showAll="0"/>
    <pivotField name="Ожидаемый Результат" compact="0" numFmtId="4" outline="0" multipleItemSelectionAllowed="1" showAll="0"/>
    <pivotField name="Число отправления из города" compact="0" outline="0" multipleItemSelectionAllowed="1" showAll="0"/>
    <pivotField name="Время отправления из города" compact="0" numFmtId="21" outline="0" multipleItemSelectionAllowed="1" showAll="0"/>
    <pivotField name="Число прибытия в командировочный город" compact="0" outline="0" multipleItemSelectionAllowed="1" showAll="0"/>
    <pivotField name="Время прибытия в командировочный город" compact="0" numFmtId="21" outline="0" multipleItemSelectionAllowed="1" showAll="0"/>
    <pivotField name="Число убытия из командировочного города" compact="0" outline="0" multipleItemSelectionAllowed="1" showAll="0"/>
    <pivotField name="Время убытия из командировочного города" compact="0" numFmtId="21" outline="0" multipleItemSelectionAllowed="1" showAll="0"/>
    <pivotField name="Число прибытия в город" compact="0" outline="0" multipleItemSelectionAllowed="1" showAll="0"/>
    <pivotField name="Время прибытия в город" compact="0" numFmtId="21" outline="0" multipleItemSelectionAllowed="1" showAll="0"/>
    <pivotField name="Комментарии" compact="0" outline="0" multipleItemSelectionAllowed="1" showAll="0"/>
    <pivotField name="Заказ гостиницы Да/Нет" compact="0" outline="0" multipleItemSelectionAllowed="1" showAll="0"/>
    <pivotField name="Город командировки" compact="0" outline="0" multipleItemSelectionAllowed="1" showAll="0"/>
    <pivotField name="Название гостиницы" compact="0" outline="0" multipleItemSelectionAllowed="1" showAll="0"/>
    <pivotField name="Ссылка для выбора гостиниц" compact="0" outline="0" multipleItemSelectionAllowed="1" showAll="0"/>
    <pivotField name="Комментарии2" compact="0" outline="0" multipleItemSelectionAllowed="1" showAll="0"/>
    <pivotField name="Заказ Билетов Да/Нет" compact="0" outline="0" multipleItemSelectionAllowed="1" showAll="0"/>
    <pivotField name="Город(а)" compact="0" outline="0" multipleItemSelectionAllowed="1" showAll="0"/>
    <pivotField name="Ориентировочное время - когда надо ехать (туда)" compact="0" outline="0" multipleItemSelectionAllowed="1" showAll="0"/>
    <pivotField name="Ориентировочное время - когда надо ехать (обратно)" compact="0" outline="0" multipleItemSelectionAllowed="1" showAll="0"/>
    <pivotField name="Дней" compact="0" outline="0" multipleItemSelectionAllowed="1" showAll="0"/>
    <pivotField name="ночи" compact="0" numFmtId="165" outline="0" multipleItemSelectionAllowed="1" showAll="0"/>
    <pivotField name="суточные (норма)" compact="0" outline="0" multipleItemSelectionAllowed="1" showAll="0"/>
    <pivotField name="Итог суточные" dataField="1" compact="0" numFmtId="167" outline="0" multipleItemSelectionAllowed="1" showAll="0"/>
  </pivotFields>
  <rowFields count="5">
    <field x="0"/>
    <field x="1"/>
    <field x="3"/>
    <field x="5"/>
    <field x="4"/>
  </rowFields>
  <rowItems count="13">
    <i>
      <x v="2"/>
      <x v="2"/>
      <x v="3"/>
      <x v="5"/>
      <x/>
    </i>
    <i r="2">
      <x v="11"/>
      <x v="4"/>
      <x/>
    </i>
    <i r="2">
      <x v="13"/>
      <x v="6"/>
      <x/>
    </i>
    <i r="2">
      <x v="17"/>
      <x v="5"/>
      <x/>
    </i>
    <i r="2">
      <x v="21"/>
      <x v="4"/>
      <x/>
    </i>
    <i r="2">
      <x v="23"/>
      <x v="6"/>
      <x/>
    </i>
    <i t="default">
      <x v="2"/>
    </i>
    <i>
      <x v="4"/>
      <x v="2"/>
      <x v="12"/>
      <x v="7"/>
      <x/>
    </i>
    <i r="2">
      <x v="22"/>
      <x v="7"/>
      <x/>
    </i>
    <i t="default">
      <x v="4"/>
    </i>
    <i>
      <x v="5"/>
      <x v="2"/>
      <x v="24"/>
      <x/>
      <x/>
    </i>
    <i t="default">
      <x v="5"/>
    </i>
    <i t="grand">
      <x/>
    </i>
  </rowItems>
  <colItems count="1">
    <i/>
  </colItems>
  <pageFields count="1">
    <pageField fld="9" hier="0"/>
  </pageFields>
  <dataFields count="1">
    <dataField name="  Итог суточные,руб." fld="3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1:M15" totalsRowCount="1">
  <tableColumns count="3">
    <tableColumn id="1" xr3:uid="{00000000-0010-0000-0000-000001000000}" name="№ месяца"/>
    <tableColumn id="2" xr3:uid="{00000000-0010-0000-0000-000002000000}" name="Месяц"/>
    <tableColumn id="3" xr3:uid="{00000000-0010-0000-0000-000003000000}" name="Род.падеж"/>
  </tableColumns>
  <tableStyleInfo name="Инфо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97D"/>
    <pageSetUpPr fitToPage="1"/>
  </sheetPr>
  <dimension ref="A1:AJ887"/>
  <sheetViews>
    <sheetView showGridLines="0" tabSelected="1" workbookViewId="0">
      <pane ySplit="1" topLeftCell="A2" activePane="bottomLeft" state="frozen"/>
      <selection pane="bottomLeft" activeCell="AJ146" sqref="AJ146"/>
    </sheetView>
  </sheetViews>
  <sheetFormatPr defaultColWidth="14.42578125" defaultRowHeight="15" customHeight="1" outlineLevelCol="1"/>
  <cols>
    <col min="1" max="1" width="5.5703125" customWidth="1"/>
    <col min="2" max="2" width="28" customWidth="1"/>
    <col min="3" max="3" width="12.7109375" customWidth="1"/>
    <col min="4" max="4" width="26.28515625" customWidth="1"/>
    <col min="5" max="5" width="19.28515625" customWidth="1"/>
    <col min="6" max="6" width="12.140625" customWidth="1"/>
    <col min="7" max="7" width="31.5703125" customWidth="1"/>
    <col min="8" max="8" width="23.42578125" customWidth="1"/>
    <col min="9" max="9" width="11.28515625" customWidth="1"/>
    <col min="10" max="10" width="16.42578125" customWidth="1"/>
    <col min="11" max="11" width="16.5703125" customWidth="1"/>
    <col min="12" max="12" width="21.28515625" customWidth="1"/>
    <col min="13" max="13" width="19.140625" customWidth="1"/>
    <col min="14" max="14" width="19" customWidth="1"/>
    <col min="15" max="15" width="9.140625" customWidth="1" outlineLevel="1"/>
    <col min="16" max="16" width="9.42578125" customWidth="1" outlineLevel="1"/>
    <col min="17" max="20" width="11" customWidth="1" outlineLevel="1"/>
    <col min="21" max="21" width="10" customWidth="1" outlineLevel="1"/>
    <col min="22" max="22" width="9.28515625" customWidth="1" outlineLevel="1"/>
    <col min="23" max="23" width="22.85546875" customWidth="1" outlineLevel="1"/>
    <col min="24" max="24" width="8.140625" customWidth="1" outlineLevel="1"/>
    <col min="25" max="25" width="17.85546875" customWidth="1" outlineLevel="1"/>
    <col min="26" max="26" width="14.85546875" customWidth="1" outlineLevel="1"/>
    <col min="27" max="27" width="7.42578125" customWidth="1" outlineLevel="1"/>
    <col min="28" max="28" width="18.85546875" customWidth="1" outlineLevel="1"/>
    <col min="29" max="29" width="10.28515625" customWidth="1" outlineLevel="1"/>
    <col min="30" max="30" width="10.42578125" customWidth="1" outlineLevel="1"/>
    <col min="31" max="31" width="15.5703125" customWidth="1" outlineLevel="1"/>
    <col min="32" max="32" width="5.5703125" customWidth="1" outlineLevel="1"/>
    <col min="33" max="33" width="5.85546875" customWidth="1" outlineLevel="1"/>
    <col min="34" max="34" width="5.140625" customWidth="1" outlineLevel="1"/>
    <col min="35" max="35" width="7.42578125" customWidth="1" outlineLevel="1"/>
    <col min="36" max="36" width="13.28515625" customWidth="1"/>
  </cols>
  <sheetData>
    <row r="1" spans="1:36" ht="77.25" customHeight="1">
      <c r="A1" s="1">
        <v>12</v>
      </c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8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1" t="s">
        <v>25</v>
      </c>
      <c r="AB1" s="10" t="s">
        <v>21</v>
      </c>
      <c r="AC1" s="10" t="s">
        <v>26</v>
      </c>
      <c r="AD1" s="10" t="s">
        <v>27</v>
      </c>
      <c r="AE1" s="11" t="s">
        <v>28</v>
      </c>
      <c r="AF1" s="12" t="s">
        <v>29</v>
      </c>
      <c r="AG1" s="13" t="s">
        <v>30</v>
      </c>
      <c r="AH1" s="14" t="s">
        <v>31</v>
      </c>
      <c r="AI1" s="14" t="s">
        <v>32</v>
      </c>
      <c r="AJ1" s="14" t="s">
        <v>33</v>
      </c>
    </row>
    <row r="2" spans="1:36" ht="30">
      <c r="A2" s="15"/>
      <c r="B2" s="16" t="s">
        <v>34</v>
      </c>
      <c r="C2" s="17" t="str">
        <f>IFERROR(VLOOKUP(B2,Инфо!$A$2:$E$89,4,0),"")</f>
        <v>Сибирский</v>
      </c>
      <c r="D2" s="18" t="str">
        <f>IFERROR(VLOOKUP($B2,Инфо!$A$3:$E$91,5,0),"")</f>
        <v>Медицинский представитель ОТС</v>
      </c>
      <c r="E2" s="19" t="str">
        <f>IFERROR(IF(B2=0,"",IF(O2=U2,CONCATENATE(O2," ",VLOOKUP($A$1,Инфо!$K:$M,3,0)),CONCATENATE(O2,"-",U2," ",VLOOKUP($A$1,Инфо!$K:$M,3,0)))),"")</f>
        <v>8 декабря</v>
      </c>
      <c r="F2" s="20" t="s">
        <v>35</v>
      </c>
      <c r="G2" s="20" t="s">
        <v>36</v>
      </c>
      <c r="H2" s="21">
        <f>IF(F2="авто",VLOOKUP(G2,'Расстояние между городами'!C:D,2,0),"")</f>
        <v>156</v>
      </c>
      <c r="I2" s="22">
        <v>12</v>
      </c>
      <c r="J2" s="23" t="s">
        <v>37</v>
      </c>
      <c r="K2" s="23" t="s">
        <v>37</v>
      </c>
      <c r="L2" s="24" t="s">
        <v>38</v>
      </c>
      <c r="M2" s="24" t="s">
        <v>38</v>
      </c>
      <c r="N2" s="24" t="s">
        <v>38</v>
      </c>
      <c r="O2" s="25">
        <v>8</v>
      </c>
      <c r="P2" s="26">
        <v>0.33333333333333331</v>
      </c>
      <c r="Q2" s="25">
        <v>8</v>
      </c>
      <c r="R2" s="26">
        <v>0.41666666666666669</v>
      </c>
      <c r="S2" s="25">
        <v>8</v>
      </c>
      <c r="T2" s="26">
        <v>0.70833333333333337</v>
      </c>
      <c r="U2" s="25">
        <v>8</v>
      </c>
      <c r="V2" s="26">
        <v>0.79166666666666663</v>
      </c>
      <c r="W2" s="27"/>
      <c r="X2" s="28"/>
      <c r="Y2" s="29"/>
      <c r="Z2" s="29"/>
      <c r="AA2" s="29"/>
      <c r="AB2" s="30"/>
      <c r="AC2" s="28"/>
      <c r="AD2" s="29"/>
      <c r="AE2" s="31"/>
      <c r="AF2" s="31"/>
      <c r="AG2" s="32">
        <f t="shared" ref="AG2:AG145" si="0">IF(V2=0,"",AH2+1)</f>
        <v>1</v>
      </c>
      <c r="AH2" s="33">
        <f t="shared" ref="AH2:AH145" si="1">U2-O2</f>
        <v>0</v>
      </c>
      <c r="AI2" s="34">
        <f>IFERROR(IF(AG2=0,"",VLOOKUP($D2,Суточные!$A$2:$C$13,3,0)),"")</f>
        <v>1700</v>
      </c>
      <c r="AJ2" s="35">
        <f t="shared" ref="AJ2:AJ47" si="2">IFERROR(IF(AG2&gt;1,AG2*AI2,IF(AND(AG2=1,OR(F2="ж/д",F2="авиа")),AG2*AI2,0)),"")</f>
        <v>0</v>
      </c>
    </row>
    <row r="3" spans="1:36" ht="30">
      <c r="A3" s="15"/>
      <c r="B3" s="16" t="s">
        <v>34</v>
      </c>
      <c r="C3" s="17" t="str">
        <f>IFERROR(VLOOKUP(B3,Инфо!$A$2:$E$89,4,0),"")</f>
        <v>Сибирский</v>
      </c>
      <c r="D3" s="18" t="str">
        <f>IFERROR(VLOOKUP($B3,Инфо!$A$3:$E$91,5,0),"")</f>
        <v>Медицинский представитель ОТС</v>
      </c>
      <c r="E3" s="19" t="str">
        <f>IFERROR(IF(B3=0,"",IF(O3=U3,CONCATENATE(O3," ",VLOOKUP($A$1,Инфо!$K:$M,3,0)),CONCATENATE(O3,"-",U3," ",VLOOKUP($A$1,Инфо!$K:$M,3,0)))),"")</f>
        <v>9 декабря</v>
      </c>
      <c r="F3" s="20" t="s">
        <v>35</v>
      </c>
      <c r="G3" s="20" t="s">
        <v>39</v>
      </c>
      <c r="H3" s="21">
        <f>IF(F3="авто",VLOOKUP(G3,'Расстояние между городами'!C:D,2,0),"")</f>
        <v>38</v>
      </c>
      <c r="I3" s="22">
        <v>12</v>
      </c>
      <c r="J3" s="24" t="s">
        <v>37</v>
      </c>
      <c r="K3" s="23" t="s">
        <v>37</v>
      </c>
      <c r="L3" s="24" t="s">
        <v>38</v>
      </c>
      <c r="M3" s="24" t="s">
        <v>38</v>
      </c>
      <c r="N3" s="24" t="s">
        <v>38</v>
      </c>
      <c r="O3" s="25">
        <v>9</v>
      </c>
      <c r="P3" s="26">
        <v>0.33333333333333331</v>
      </c>
      <c r="Q3" s="25">
        <v>9</v>
      </c>
      <c r="R3" s="26">
        <v>0.375</v>
      </c>
      <c r="S3" s="25">
        <v>9</v>
      </c>
      <c r="T3" s="26">
        <v>0.70833333333333337</v>
      </c>
      <c r="U3" s="25">
        <v>9</v>
      </c>
      <c r="V3" s="26">
        <v>0.75</v>
      </c>
      <c r="W3" s="36"/>
      <c r="X3" s="28"/>
      <c r="Y3" s="29"/>
      <c r="Z3" s="29"/>
      <c r="AA3" s="37"/>
      <c r="AB3" s="38"/>
      <c r="AC3" s="39"/>
      <c r="AD3" s="37"/>
      <c r="AE3" s="40"/>
      <c r="AF3" s="40"/>
      <c r="AG3" s="32">
        <f t="shared" si="0"/>
        <v>1</v>
      </c>
      <c r="AH3" s="33">
        <f t="shared" si="1"/>
        <v>0</v>
      </c>
      <c r="AI3" s="34">
        <f>IFERROR(IF(AG3=0,"",VLOOKUP($D3,Суточные!$A$2:$C$13,3,0)),"")</f>
        <v>1700</v>
      </c>
      <c r="AJ3" s="35">
        <f t="shared" si="2"/>
        <v>0</v>
      </c>
    </row>
    <row r="4" spans="1:36" ht="30">
      <c r="A4" s="15"/>
      <c r="B4" s="16" t="s">
        <v>34</v>
      </c>
      <c r="C4" s="17" t="str">
        <f>IFERROR(VLOOKUP(B4,Инфо!$A$2:$E$89,4,0),"")</f>
        <v>Сибирский</v>
      </c>
      <c r="D4" s="18" t="str">
        <f>IFERROR(VLOOKUP($B4,Инфо!$A$3:$E$91,5,0),"")</f>
        <v>Медицинский представитель ОТС</v>
      </c>
      <c r="E4" s="19" t="str">
        <f>IFERROR(IF(B4=0,"",IF(O4=U4,CONCATENATE(O4," ",VLOOKUP($A$1,Инфо!$K:$M,3,0)),CONCATENATE(O4,"-",U4," ",VLOOKUP($A$1,Инфо!$K:$M,3,0)))),"")</f>
        <v>12 декабря</v>
      </c>
      <c r="F4" s="20" t="s">
        <v>35</v>
      </c>
      <c r="G4" s="20" t="s">
        <v>40</v>
      </c>
      <c r="H4" s="21">
        <f>IF(F4="авто",VLOOKUP(G4,'Расстояние между городами'!C:D,2,0),"")</f>
        <v>66</v>
      </c>
      <c r="I4" s="22">
        <v>12</v>
      </c>
      <c r="J4" s="24" t="s">
        <v>37</v>
      </c>
      <c r="K4" s="23" t="s">
        <v>37</v>
      </c>
      <c r="L4" s="24" t="s">
        <v>38</v>
      </c>
      <c r="M4" s="24" t="s">
        <v>38</v>
      </c>
      <c r="N4" s="24" t="s">
        <v>38</v>
      </c>
      <c r="O4" s="25">
        <v>12</v>
      </c>
      <c r="P4" s="26">
        <v>0.33333333333333331</v>
      </c>
      <c r="Q4" s="25">
        <v>12</v>
      </c>
      <c r="R4" s="26">
        <v>0.375</v>
      </c>
      <c r="S4" s="25">
        <v>12</v>
      </c>
      <c r="T4" s="26">
        <v>0.70833333333333337</v>
      </c>
      <c r="U4" s="25">
        <v>12</v>
      </c>
      <c r="V4" s="26">
        <v>0.75</v>
      </c>
      <c r="W4" s="41"/>
      <c r="X4" s="39"/>
      <c r="Y4" s="37"/>
      <c r="Z4" s="38"/>
      <c r="AA4" s="37"/>
      <c r="AB4" s="38"/>
      <c r="AC4" s="39"/>
      <c r="AD4" s="37"/>
      <c r="AE4" s="40"/>
      <c r="AF4" s="40"/>
      <c r="AG4" s="32">
        <f t="shared" si="0"/>
        <v>1</v>
      </c>
      <c r="AH4" s="33">
        <f t="shared" si="1"/>
        <v>0</v>
      </c>
      <c r="AI4" s="34">
        <f>IFERROR(IF(AG4=0,"",VLOOKUP($D4,Суточные!$A$2:$C$13,3,0)),"")</f>
        <v>1700</v>
      </c>
      <c r="AJ4" s="35">
        <f t="shared" si="2"/>
        <v>0</v>
      </c>
    </row>
    <row r="5" spans="1:36" ht="30">
      <c r="A5" s="15"/>
      <c r="B5" s="16" t="s">
        <v>34</v>
      </c>
      <c r="C5" s="17" t="str">
        <f>IFERROR(VLOOKUP(B5,Инфо!$A$2:$E$89,4,0),"")</f>
        <v>Сибирский</v>
      </c>
      <c r="D5" s="18" t="str">
        <f>IFERROR(VLOOKUP($B5,Инфо!$A$3:$E$91,5,0),"")</f>
        <v>Медицинский представитель ОТС</v>
      </c>
      <c r="E5" s="19" t="str">
        <f>IFERROR(IF(B5=0,"",IF(O5=U5,CONCATENATE(O5," ",VLOOKUP($A$1,Инфо!$K:$M,3,0)),CONCATENATE(O5,"-",U5," ",VLOOKUP($A$1,Инфо!$K:$M,3,0)))),"")</f>
        <v>22 декабря</v>
      </c>
      <c r="F5" s="20" t="s">
        <v>35</v>
      </c>
      <c r="G5" s="20" t="s">
        <v>36</v>
      </c>
      <c r="H5" s="21">
        <f>IF(F5="авто",VLOOKUP(G5,'Расстояние между городами'!C:D,2,0),"")</f>
        <v>156</v>
      </c>
      <c r="I5" s="42">
        <v>12</v>
      </c>
      <c r="J5" s="24" t="s">
        <v>37</v>
      </c>
      <c r="K5" s="23" t="s">
        <v>37</v>
      </c>
      <c r="L5" s="24" t="s">
        <v>38</v>
      </c>
      <c r="M5" s="24" t="s">
        <v>38</v>
      </c>
      <c r="N5" s="24" t="s">
        <v>38</v>
      </c>
      <c r="O5" s="25">
        <v>22</v>
      </c>
      <c r="P5" s="26">
        <v>0.33333333333333331</v>
      </c>
      <c r="Q5" s="25">
        <v>22</v>
      </c>
      <c r="R5" s="26">
        <v>0.41666666666666669</v>
      </c>
      <c r="S5" s="25">
        <v>22</v>
      </c>
      <c r="T5" s="26">
        <v>0.70833333333333337</v>
      </c>
      <c r="U5" s="25">
        <v>22</v>
      </c>
      <c r="V5" s="26">
        <v>0.79166666666666663</v>
      </c>
      <c r="W5" s="41"/>
      <c r="X5" s="39"/>
      <c r="Y5" s="37"/>
      <c r="Z5" s="38"/>
      <c r="AA5" s="37"/>
      <c r="AB5" s="38"/>
      <c r="AC5" s="39"/>
      <c r="AD5" s="37"/>
      <c r="AE5" s="40"/>
      <c r="AF5" s="40"/>
      <c r="AG5" s="32">
        <f t="shared" si="0"/>
        <v>1</v>
      </c>
      <c r="AH5" s="33">
        <f t="shared" si="1"/>
        <v>0</v>
      </c>
      <c r="AI5" s="34">
        <f>IFERROR(IF(AG5=0,"",VLOOKUP($D5,Суточные!$A$2:$C$13,3,0)),"")</f>
        <v>1700</v>
      </c>
      <c r="AJ5" s="35">
        <f t="shared" si="2"/>
        <v>0</v>
      </c>
    </row>
    <row r="6" spans="1:36" ht="30">
      <c r="A6" s="15"/>
      <c r="B6" s="16" t="s">
        <v>34</v>
      </c>
      <c r="C6" s="17" t="str">
        <f>IFERROR(VLOOKUP(B6,Инфо!$A$2:$E$89,4,0),"")</f>
        <v>Сибирский</v>
      </c>
      <c r="D6" s="18" t="str">
        <f>IFERROR(VLOOKUP($B6,Инфо!$A$3:$E$91,5,0),"")</f>
        <v>Медицинский представитель ОТС</v>
      </c>
      <c r="E6" s="19" t="str">
        <f>IFERROR(IF(B6=0,"",IF(O6=U6,CONCATENATE(O6," ",VLOOKUP($A$1,Инфо!$K:$M,3,0)),CONCATENATE(O6,"-",U6," ",VLOOKUP($A$1,Инфо!$K:$M,3,0)))),"")</f>
        <v>23 декабря</v>
      </c>
      <c r="F6" s="20" t="s">
        <v>35</v>
      </c>
      <c r="G6" s="20" t="s">
        <v>39</v>
      </c>
      <c r="H6" s="21">
        <f>IF(F6="авто",VLOOKUP(G6,'Расстояние между городами'!C:D,2,0),"")</f>
        <v>38</v>
      </c>
      <c r="I6" s="42">
        <v>12</v>
      </c>
      <c r="J6" s="24" t="s">
        <v>37</v>
      </c>
      <c r="K6" s="23" t="s">
        <v>37</v>
      </c>
      <c r="L6" s="24" t="s">
        <v>38</v>
      </c>
      <c r="M6" s="24" t="s">
        <v>38</v>
      </c>
      <c r="N6" s="24" t="s">
        <v>38</v>
      </c>
      <c r="O6" s="25">
        <v>23</v>
      </c>
      <c r="P6" s="26">
        <v>0.33333333333333331</v>
      </c>
      <c r="Q6" s="25">
        <v>23</v>
      </c>
      <c r="R6" s="26">
        <v>0.375</v>
      </c>
      <c r="S6" s="25">
        <v>23</v>
      </c>
      <c r="T6" s="26">
        <v>0.70833333333333337</v>
      </c>
      <c r="U6" s="25">
        <v>23</v>
      </c>
      <c r="V6" s="26">
        <v>0.75</v>
      </c>
      <c r="W6" s="36"/>
      <c r="X6" s="39"/>
      <c r="Y6" s="37"/>
      <c r="Z6" s="38"/>
      <c r="AA6" s="37"/>
      <c r="AB6" s="38"/>
      <c r="AC6" s="39"/>
      <c r="AD6" s="37"/>
      <c r="AE6" s="40"/>
      <c r="AF6" s="40"/>
      <c r="AG6" s="32">
        <f t="shared" si="0"/>
        <v>1</v>
      </c>
      <c r="AH6" s="33">
        <f t="shared" si="1"/>
        <v>0</v>
      </c>
      <c r="AI6" s="34">
        <f>IFERROR(IF(AG6=0,"",VLOOKUP($D6,Суточные!$A$2:$C$13,3,0)),"")</f>
        <v>1700</v>
      </c>
      <c r="AJ6" s="35">
        <f t="shared" si="2"/>
        <v>0</v>
      </c>
    </row>
    <row r="7" spans="1:36" ht="30">
      <c r="A7" s="15"/>
      <c r="B7" s="16" t="s">
        <v>34</v>
      </c>
      <c r="C7" s="17" t="str">
        <f>IFERROR(VLOOKUP(B7,Инфо!$A$2:$E$89,4,0),"")</f>
        <v>Сибирский</v>
      </c>
      <c r="D7" s="18" t="str">
        <f>IFERROR(VLOOKUP($B7,Инфо!$A$3:$E$91,5,0),"")</f>
        <v>Медицинский представитель ОТС</v>
      </c>
      <c r="E7" s="19" t="str">
        <f>IFERROR(IF(B7=0,"",IF(O7=U7,CONCATENATE(O7," ",VLOOKUP($A$1,Инфо!$K:$M,3,0)),CONCATENATE(O7,"-",U7," ",VLOOKUP($A$1,Инфо!$K:$M,3,0)))),"")</f>
        <v>26 декабря</v>
      </c>
      <c r="F7" s="20" t="s">
        <v>35</v>
      </c>
      <c r="G7" s="20" t="s">
        <v>40</v>
      </c>
      <c r="H7" s="21">
        <f>IF(F7="авто",VLOOKUP(G7,'Расстояние между городами'!C:D,2,0),"")</f>
        <v>66</v>
      </c>
      <c r="I7" s="42">
        <v>12</v>
      </c>
      <c r="J7" s="24" t="s">
        <v>37</v>
      </c>
      <c r="K7" s="23" t="s">
        <v>37</v>
      </c>
      <c r="L7" s="24" t="s">
        <v>38</v>
      </c>
      <c r="M7" s="24" t="s">
        <v>38</v>
      </c>
      <c r="N7" s="24" t="s">
        <v>38</v>
      </c>
      <c r="O7" s="25">
        <v>26</v>
      </c>
      <c r="P7" s="26">
        <v>0.33333333333333331</v>
      </c>
      <c r="Q7" s="25">
        <v>26</v>
      </c>
      <c r="R7" s="26">
        <v>0.375</v>
      </c>
      <c r="S7" s="25">
        <v>26</v>
      </c>
      <c r="T7" s="26">
        <v>0.70833333333333337</v>
      </c>
      <c r="U7" s="25">
        <v>26</v>
      </c>
      <c r="V7" s="26">
        <v>0.75</v>
      </c>
      <c r="W7" s="41"/>
      <c r="X7" s="39"/>
      <c r="Y7" s="37"/>
      <c r="Z7" s="37"/>
      <c r="AA7" s="37"/>
      <c r="AB7" s="38"/>
      <c r="AC7" s="39"/>
      <c r="AD7" s="37"/>
      <c r="AE7" s="40"/>
      <c r="AF7" s="40"/>
      <c r="AG7" s="32">
        <f t="shared" si="0"/>
        <v>1</v>
      </c>
      <c r="AH7" s="33">
        <f t="shared" si="1"/>
        <v>0</v>
      </c>
      <c r="AI7" s="34">
        <f>IFERROR(IF(AG7=0,"",VLOOKUP($D7,Суточные!$A$2:$C$13,3,0)),"")</f>
        <v>1700</v>
      </c>
      <c r="AJ7" s="35">
        <f t="shared" si="2"/>
        <v>0</v>
      </c>
    </row>
    <row r="8" spans="1:36" ht="30">
      <c r="A8" s="15"/>
      <c r="B8" s="16" t="s">
        <v>41</v>
      </c>
      <c r="C8" s="17" t="str">
        <f>IFERROR(VLOOKUP(B8,Инфо!$A$2:$E$89,4,0),"")</f>
        <v>Волжский</v>
      </c>
      <c r="D8" s="18" t="str">
        <f>IFERROR(VLOOKUP($B8,Инфо!$A$3:$E$91,5,0),"")</f>
        <v>Медицинский представитель ОТС</v>
      </c>
      <c r="E8" s="19" t="str">
        <f>IFERROR(IF(B8=0,"",IF(O8=U8,CONCATENATE(O8," ",VLOOKUP($A$1,Инфо!$K:$M,3,0)),CONCATENATE(O8,"-",U8," ",VLOOKUP($A$1,Инфо!$K:$M,3,0)))),"")</f>
        <v>4-5 декабря</v>
      </c>
      <c r="F8" s="20" t="s">
        <v>35</v>
      </c>
      <c r="G8" s="20" t="s">
        <v>42</v>
      </c>
      <c r="H8" s="21">
        <f>IF(F8="авто",VLOOKUP(G8,'Расстояние между городами'!C:D,2,0),"")</f>
        <v>297</v>
      </c>
      <c r="I8" s="42">
        <v>12</v>
      </c>
      <c r="J8" s="24" t="s">
        <v>37</v>
      </c>
      <c r="K8" s="23"/>
      <c r="L8" s="24" t="s">
        <v>38</v>
      </c>
      <c r="M8" s="24" t="s">
        <v>38</v>
      </c>
      <c r="N8" s="24" t="s">
        <v>38</v>
      </c>
      <c r="O8" s="25">
        <v>4</v>
      </c>
      <c r="P8" s="26">
        <v>0.33333333333333331</v>
      </c>
      <c r="Q8" s="25">
        <v>4</v>
      </c>
      <c r="R8" s="26">
        <v>0.41666666666666669</v>
      </c>
      <c r="S8" s="25">
        <v>5</v>
      </c>
      <c r="T8" s="26">
        <v>0.66666666666666663</v>
      </c>
      <c r="U8" s="25">
        <v>5</v>
      </c>
      <c r="V8" s="26">
        <v>0.75</v>
      </c>
      <c r="W8" s="41"/>
      <c r="X8" s="39"/>
      <c r="Y8" s="37"/>
      <c r="Z8" s="38"/>
      <c r="AA8" s="37"/>
      <c r="AB8" s="38"/>
      <c r="AC8" s="39"/>
      <c r="AD8" s="37"/>
      <c r="AE8" s="40"/>
      <c r="AF8" s="40"/>
      <c r="AG8" s="32">
        <f t="shared" si="0"/>
        <v>2</v>
      </c>
      <c r="AH8" s="33">
        <f t="shared" si="1"/>
        <v>1</v>
      </c>
      <c r="AI8" s="34">
        <f>IFERROR(IF(AG8=0,"",VLOOKUP($D8,Суточные!$A$2:$C$13,3,0)),"")</f>
        <v>1700</v>
      </c>
      <c r="AJ8" s="35">
        <f t="shared" si="2"/>
        <v>3400</v>
      </c>
    </row>
    <row r="9" spans="1:36" ht="30">
      <c r="A9" s="15"/>
      <c r="B9" s="16" t="s">
        <v>41</v>
      </c>
      <c r="C9" s="17" t="str">
        <f>IFERROR(VLOOKUP(B9,Инфо!$A$2:$E$89,4,0),"")</f>
        <v>Волжский</v>
      </c>
      <c r="D9" s="18" t="str">
        <f>IFERROR(VLOOKUP($B9,Инфо!$A$3:$E$91,5,0),"")</f>
        <v>Медицинский представитель ОТС</v>
      </c>
      <c r="E9" s="19" t="str">
        <f>IFERROR(IF(B9=0,"",IF(O9=U9,CONCATENATE(O9," ",VLOOKUP($A$1,Инфо!$K:$M,3,0)),CONCATENATE(O9,"-",U9," ",VLOOKUP($A$1,Инфо!$K:$M,3,0)))),"")</f>
        <v>16-17 декабря</v>
      </c>
      <c r="F9" s="20" t="s">
        <v>35</v>
      </c>
      <c r="G9" s="20" t="s">
        <v>42</v>
      </c>
      <c r="H9" s="21">
        <f>IF(F9="авто",VLOOKUP(G9,'Расстояние между городами'!C:D,2,0),"")</f>
        <v>297</v>
      </c>
      <c r="I9" s="42">
        <v>12</v>
      </c>
      <c r="J9" s="24"/>
      <c r="K9" s="23"/>
      <c r="L9" s="24" t="s">
        <v>38</v>
      </c>
      <c r="M9" s="24" t="s">
        <v>38</v>
      </c>
      <c r="N9" s="24" t="s">
        <v>38</v>
      </c>
      <c r="O9" s="25">
        <v>16</v>
      </c>
      <c r="P9" s="26">
        <v>0.33333333333333331</v>
      </c>
      <c r="Q9" s="25">
        <v>16</v>
      </c>
      <c r="R9" s="26">
        <v>0.41666666666666669</v>
      </c>
      <c r="S9" s="25">
        <v>17</v>
      </c>
      <c r="T9" s="26">
        <v>0.66666666666666663</v>
      </c>
      <c r="U9" s="25">
        <v>17</v>
      </c>
      <c r="V9" s="26">
        <v>0.75</v>
      </c>
      <c r="W9" s="43"/>
      <c r="X9" s="39"/>
      <c r="Y9" s="37"/>
      <c r="Z9" s="38"/>
      <c r="AA9" s="37"/>
      <c r="AB9" s="38"/>
      <c r="AC9" s="39"/>
      <c r="AD9" s="37"/>
      <c r="AE9" s="40"/>
      <c r="AF9" s="40"/>
      <c r="AG9" s="32">
        <f t="shared" si="0"/>
        <v>2</v>
      </c>
      <c r="AH9" s="33">
        <f t="shared" si="1"/>
        <v>1</v>
      </c>
      <c r="AI9" s="34">
        <f>IFERROR(IF(AG9=0,"",VLOOKUP($D9,Суточные!$A$2:$C$13,3,0)),"")</f>
        <v>1700</v>
      </c>
      <c r="AJ9" s="35">
        <f t="shared" si="2"/>
        <v>3400</v>
      </c>
    </row>
    <row r="10" spans="1:36" ht="30">
      <c r="A10" s="15"/>
      <c r="B10" s="16" t="s">
        <v>43</v>
      </c>
      <c r="C10" s="17" t="str">
        <f>IFERROR(VLOOKUP(B10,Инфо!$A$2:$E$89,4,0),"")</f>
        <v>Сибирский</v>
      </c>
      <c r="D10" s="18" t="str">
        <f>IFERROR(VLOOKUP($B10,Инфо!$A$3:$E$91,5,0),"")</f>
        <v>Медицинский представитель ОТС</v>
      </c>
      <c r="E10" s="19" t="str">
        <f>IFERROR(IF(B10=0,"",IF(O10=U10,CONCATENATE(O10," ",VLOOKUP($A$1,Инфо!$K:$M,3,0)),CONCATENATE(O10,"-",U10," ",VLOOKUP($A$1,Инфо!$K:$M,3,0)))),"")</f>
        <v>2 декабря</v>
      </c>
      <c r="F10" s="20" t="s">
        <v>35</v>
      </c>
      <c r="G10" s="20" t="s">
        <v>44</v>
      </c>
      <c r="H10" s="21">
        <f>IF(F10="авто",VLOOKUP(G10,'Расстояние между городами'!C:D,2,0),"")</f>
        <v>160</v>
      </c>
      <c r="I10" s="42">
        <v>12</v>
      </c>
      <c r="J10" s="24"/>
      <c r="K10" s="23"/>
      <c r="L10" s="24" t="s">
        <v>38</v>
      </c>
      <c r="M10" s="24" t="s">
        <v>38</v>
      </c>
      <c r="N10" s="24" t="s">
        <v>38</v>
      </c>
      <c r="O10" s="25">
        <v>2</v>
      </c>
      <c r="P10" s="26">
        <v>0.33333333333333331</v>
      </c>
      <c r="Q10" s="25">
        <v>2</v>
      </c>
      <c r="R10" s="26">
        <v>0.41666666666666669</v>
      </c>
      <c r="S10" s="25">
        <v>2</v>
      </c>
      <c r="T10" s="26">
        <v>0.66666666666666663</v>
      </c>
      <c r="U10" s="25">
        <v>2</v>
      </c>
      <c r="V10" s="26">
        <v>0.75</v>
      </c>
      <c r="W10" s="41"/>
      <c r="X10" s="39"/>
      <c r="Y10" s="37"/>
      <c r="Z10" s="38"/>
      <c r="AA10" s="37"/>
      <c r="AB10" s="38"/>
      <c r="AC10" s="39"/>
      <c r="AD10" s="37"/>
      <c r="AE10" s="40"/>
      <c r="AF10" s="40"/>
      <c r="AG10" s="32">
        <f t="shared" si="0"/>
        <v>1</v>
      </c>
      <c r="AH10" s="33">
        <f t="shared" si="1"/>
        <v>0</v>
      </c>
      <c r="AI10" s="34">
        <f>IFERROR(IF(AG10=0,"",VLOOKUP($D10,Суточные!$A$2:$C$13,3,0)),"")</f>
        <v>1700</v>
      </c>
      <c r="AJ10" s="35">
        <f t="shared" si="2"/>
        <v>0</v>
      </c>
    </row>
    <row r="11" spans="1:36" ht="30">
      <c r="A11" s="15"/>
      <c r="B11" s="16" t="s">
        <v>43</v>
      </c>
      <c r="C11" s="17" t="str">
        <f>IFERROR(VLOOKUP(B11,Инфо!$A$2:$E$89,4,0),"")</f>
        <v>Сибирский</v>
      </c>
      <c r="D11" s="18" t="str">
        <f>IFERROR(VLOOKUP($B11,Инфо!$A$3:$E$91,5,0),"")</f>
        <v>Медицинский представитель ОТС</v>
      </c>
      <c r="E11" s="19" t="str">
        <f>IFERROR(IF(B11=0,"",IF(O11=U11,CONCATENATE(O11," ",VLOOKUP($A$1,Инфо!$K:$M,3,0)),CONCATENATE(O11,"-",U11," ",VLOOKUP($A$1,Инфо!$K:$M,3,0)))),"")</f>
        <v>4 декабря</v>
      </c>
      <c r="F11" s="20" t="s">
        <v>35</v>
      </c>
      <c r="G11" s="20" t="s">
        <v>45</v>
      </c>
      <c r="H11" s="21">
        <f>IF(F11="авто",VLOOKUP(G11,'Расстояние между городами'!C:D,2,0),"")</f>
        <v>75</v>
      </c>
      <c r="I11" s="42">
        <v>12</v>
      </c>
      <c r="J11" s="24"/>
      <c r="K11" s="23"/>
      <c r="L11" s="24" t="s">
        <v>38</v>
      </c>
      <c r="M11" s="24" t="s">
        <v>38</v>
      </c>
      <c r="N11" s="24" t="s">
        <v>38</v>
      </c>
      <c r="O11" s="25">
        <v>4</v>
      </c>
      <c r="P11" s="26">
        <v>0.33333333333333331</v>
      </c>
      <c r="Q11" s="25">
        <v>4</v>
      </c>
      <c r="R11" s="26">
        <v>0.41666666666666669</v>
      </c>
      <c r="S11" s="25">
        <v>4</v>
      </c>
      <c r="T11" s="26">
        <v>0.66666666666666663</v>
      </c>
      <c r="U11" s="25">
        <v>4</v>
      </c>
      <c r="V11" s="26">
        <v>0.75</v>
      </c>
      <c r="W11" s="36"/>
      <c r="X11" s="39"/>
      <c r="Y11" s="37"/>
      <c r="Z11" s="37"/>
      <c r="AA11" s="37"/>
      <c r="AB11" s="38"/>
      <c r="AC11" s="39"/>
      <c r="AD11" s="37"/>
      <c r="AE11" s="40"/>
      <c r="AF11" s="40"/>
      <c r="AG11" s="32">
        <f t="shared" si="0"/>
        <v>1</v>
      </c>
      <c r="AH11" s="33">
        <f t="shared" si="1"/>
        <v>0</v>
      </c>
      <c r="AI11" s="34">
        <f>IFERROR(IF(AG11=0,"",VLOOKUP($D11,Суточные!$A$2:$C$13,3,0)),"")</f>
        <v>1700</v>
      </c>
      <c r="AJ11" s="35">
        <f t="shared" si="2"/>
        <v>0</v>
      </c>
    </row>
    <row r="12" spans="1:36" ht="30">
      <c r="A12" s="15"/>
      <c r="B12" s="16" t="s">
        <v>43</v>
      </c>
      <c r="C12" s="17" t="str">
        <f>IFERROR(VLOOKUP(B12,Инфо!$A$2:$E$89,4,0),"")</f>
        <v>Сибирский</v>
      </c>
      <c r="D12" s="18" t="str">
        <f>IFERROR(VLOOKUP($B12,Инфо!$A$3:$E$91,5,0),"")</f>
        <v>Медицинский представитель ОТС</v>
      </c>
      <c r="E12" s="19" t="str">
        <f>IFERROR(IF(B12=0,"",IF(O12=U12,CONCATENATE(O12," ",VLOOKUP($A$1,Инфо!$K:$M,3,0)),CONCATENATE(O12,"-",U12," ",VLOOKUP($A$1,Инфо!$K:$M,3,0)))),"")</f>
        <v>11 декабря</v>
      </c>
      <c r="F12" s="20" t="s">
        <v>35</v>
      </c>
      <c r="G12" s="20" t="s">
        <v>45</v>
      </c>
      <c r="H12" s="21">
        <f>IF(F12="авто",VLOOKUP(G12,'Расстояние между городами'!C:D,2,0),"")</f>
        <v>75</v>
      </c>
      <c r="I12" s="42">
        <v>12</v>
      </c>
      <c r="J12" s="24"/>
      <c r="K12" s="23"/>
      <c r="L12" s="24" t="s">
        <v>38</v>
      </c>
      <c r="M12" s="24" t="s">
        <v>38</v>
      </c>
      <c r="N12" s="24" t="s">
        <v>38</v>
      </c>
      <c r="O12" s="25">
        <v>11</v>
      </c>
      <c r="P12" s="26">
        <v>0.33333333333333331</v>
      </c>
      <c r="Q12" s="25">
        <v>11</v>
      </c>
      <c r="R12" s="26">
        <v>0.41666666666666669</v>
      </c>
      <c r="S12" s="25">
        <v>11</v>
      </c>
      <c r="T12" s="26">
        <v>0.66666666666666663</v>
      </c>
      <c r="U12" s="25">
        <v>11</v>
      </c>
      <c r="V12" s="26">
        <v>0.75</v>
      </c>
      <c r="W12" s="36"/>
      <c r="X12" s="39"/>
      <c r="Y12" s="37"/>
      <c r="Z12" s="38"/>
      <c r="AA12" s="37"/>
      <c r="AB12" s="38"/>
      <c r="AC12" s="39"/>
      <c r="AD12" s="37"/>
      <c r="AE12" s="40"/>
      <c r="AF12" s="40"/>
      <c r="AG12" s="32">
        <f t="shared" si="0"/>
        <v>1</v>
      </c>
      <c r="AH12" s="33">
        <f t="shared" si="1"/>
        <v>0</v>
      </c>
      <c r="AI12" s="34">
        <f>IFERROR(IF(AG12=0,"",VLOOKUP($D12,Суточные!$A$2:$C$13,3,0)),"")</f>
        <v>1700</v>
      </c>
      <c r="AJ12" s="35">
        <f t="shared" si="2"/>
        <v>0</v>
      </c>
    </row>
    <row r="13" spans="1:36" ht="30">
      <c r="A13" s="15"/>
      <c r="B13" s="16" t="s">
        <v>43</v>
      </c>
      <c r="C13" s="17" t="str">
        <f>IFERROR(VLOOKUP(B13,Инфо!$A$2:$E$89,4,0),"")</f>
        <v>Сибирский</v>
      </c>
      <c r="D13" s="18" t="str">
        <f>IFERROR(VLOOKUP($B13,Инфо!$A$3:$E$91,5,0),"")</f>
        <v>Медицинский представитель ОТС</v>
      </c>
      <c r="E13" s="19" t="str">
        <f>IFERROR(IF(B13=0,"",IF(O13=U13,CONCATENATE(O13," ",VLOOKUP($A$1,Инфо!$K:$M,3,0)),CONCATENATE(O13,"-",U13," ",VLOOKUP($A$1,Инфо!$K:$M,3,0)))),"")</f>
        <v>16 декабря</v>
      </c>
      <c r="F13" s="20" t="s">
        <v>35</v>
      </c>
      <c r="G13" s="20" t="s">
        <v>44</v>
      </c>
      <c r="H13" s="21">
        <f>IF(F13="авто",VLOOKUP(G13,'Расстояние между городами'!C:D,2,0),"")</f>
        <v>160</v>
      </c>
      <c r="I13" s="42">
        <v>12</v>
      </c>
      <c r="J13" s="24"/>
      <c r="K13" s="23"/>
      <c r="L13" s="24" t="s">
        <v>38</v>
      </c>
      <c r="M13" s="24" t="s">
        <v>38</v>
      </c>
      <c r="N13" s="24" t="s">
        <v>38</v>
      </c>
      <c r="O13" s="25">
        <v>16</v>
      </c>
      <c r="P13" s="26">
        <v>0.33333333333333331</v>
      </c>
      <c r="Q13" s="25">
        <v>16</v>
      </c>
      <c r="R13" s="26">
        <v>0.41666666666666669</v>
      </c>
      <c r="S13" s="25">
        <v>16</v>
      </c>
      <c r="T13" s="26">
        <v>0.66666666666666663</v>
      </c>
      <c r="U13" s="25">
        <v>16</v>
      </c>
      <c r="V13" s="26">
        <v>0.75</v>
      </c>
      <c r="W13" s="36"/>
      <c r="X13" s="39"/>
      <c r="Y13" s="37"/>
      <c r="Z13" s="38"/>
      <c r="AA13" s="37"/>
      <c r="AB13" s="38"/>
      <c r="AC13" s="39"/>
      <c r="AD13" s="37"/>
      <c r="AE13" s="40"/>
      <c r="AF13" s="40"/>
      <c r="AG13" s="32">
        <f t="shared" si="0"/>
        <v>1</v>
      </c>
      <c r="AH13" s="33">
        <f t="shared" si="1"/>
        <v>0</v>
      </c>
      <c r="AI13" s="34">
        <f>IFERROR(IF(AG13=0,"",VLOOKUP($D13,Суточные!$A$2:$C$13,3,0)),"")</f>
        <v>1700</v>
      </c>
      <c r="AJ13" s="35">
        <f t="shared" si="2"/>
        <v>0</v>
      </c>
    </row>
    <row r="14" spans="1:36" ht="30">
      <c r="A14" s="15"/>
      <c r="B14" s="16" t="s">
        <v>43</v>
      </c>
      <c r="C14" s="17" t="str">
        <f>IFERROR(VLOOKUP(B14,Инфо!$A$2:$E$89,4,0),"")</f>
        <v>Сибирский</v>
      </c>
      <c r="D14" s="18" t="str">
        <f>IFERROR(VLOOKUP($B14,Инфо!$A$3:$E$91,5,0),"")</f>
        <v>Медицинский представитель ОТС</v>
      </c>
      <c r="E14" s="19" t="str">
        <f>IFERROR(IF(B14=0,"",IF(O14=U14,CONCATENATE(O14," ",VLOOKUP($A$1,Инфо!$K:$M,3,0)),CONCATENATE(O14,"-",U14," ",VLOOKUP($A$1,Инфо!$K:$M,3,0)))),"")</f>
        <v>18 декабря</v>
      </c>
      <c r="F14" s="20" t="s">
        <v>35</v>
      </c>
      <c r="G14" s="20" t="s">
        <v>45</v>
      </c>
      <c r="H14" s="21">
        <f>IF(F14="авто",VLOOKUP(G14,'Расстояние между городами'!C:D,2,0),"")</f>
        <v>75</v>
      </c>
      <c r="I14" s="42">
        <v>12</v>
      </c>
      <c r="J14" s="24"/>
      <c r="K14" s="23"/>
      <c r="L14" s="24" t="s">
        <v>38</v>
      </c>
      <c r="M14" s="24" t="s">
        <v>38</v>
      </c>
      <c r="N14" s="24" t="s">
        <v>38</v>
      </c>
      <c r="O14" s="25">
        <v>18</v>
      </c>
      <c r="P14" s="26">
        <v>0.33333333333333331</v>
      </c>
      <c r="Q14" s="25">
        <v>18</v>
      </c>
      <c r="R14" s="26">
        <v>0.41666666666666669</v>
      </c>
      <c r="S14" s="25">
        <v>18</v>
      </c>
      <c r="T14" s="26">
        <v>0.66666666666666663</v>
      </c>
      <c r="U14" s="25">
        <v>18</v>
      </c>
      <c r="V14" s="26">
        <v>0.75</v>
      </c>
      <c r="W14" s="36"/>
      <c r="X14" s="39"/>
      <c r="Y14" s="37"/>
      <c r="Z14" s="38"/>
      <c r="AA14" s="37"/>
      <c r="AB14" s="38"/>
      <c r="AC14" s="39"/>
      <c r="AD14" s="37"/>
      <c r="AE14" s="40"/>
      <c r="AF14" s="40"/>
      <c r="AG14" s="32">
        <f t="shared" si="0"/>
        <v>1</v>
      </c>
      <c r="AH14" s="33">
        <f t="shared" si="1"/>
        <v>0</v>
      </c>
      <c r="AI14" s="34">
        <f>IFERROR(IF(AG14=0,"",VLOOKUP($D14,Суточные!$A$2:$C$13,3,0)),"")</f>
        <v>1700</v>
      </c>
      <c r="AJ14" s="35">
        <f t="shared" si="2"/>
        <v>0</v>
      </c>
    </row>
    <row r="15" spans="1:36" ht="37.5" customHeight="1">
      <c r="A15" s="15"/>
      <c r="B15" s="16" t="s">
        <v>43</v>
      </c>
      <c r="C15" s="17" t="str">
        <f>IFERROR(VLOOKUP(B15,Инфо!$A$2:$E$89,4,0),"")</f>
        <v>Сибирский</v>
      </c>
      <c r="D15" s="18" t="str">
        <f>IFERROR(VLOOKUP($B15,Инфо!$A$3:$E$91,5,0),"")</f>
        <v>Медицинский представитель ОТС</v>
      </c>
      <c r="E15" s="19" t="str">
        <f>IFERROR(IF(B15=0,"",IF(O15=U15,CONCATENATE(O15," ",VLOOKUP($A$1,Инфо!$K:$M,3,0)),CONCATENATE(O15,"-",U15," ",VLOOKUP($A$1,Инфо!$K:$M,3,0)))),"")</f>
        <v>25 декабря</v>
      </c>
      <c r="F15" s="20" t="s">
        <v>35</v>
      </c>
      <c r="G15" s="20" t="s">
        <v>45</v>
      </c>
      <c r="H15" s="21">
        <f>IF(F15="авто",VLOOKUP(G15,'Расстояние между городами'!C:D,2,0),"")</f>
        <v>75</v>
      </c>
      <c r="I15" s="42">
        <v>12</v>
      </c>
      <c r="J15" s="24"/>
      <c r="K15" s="23"/>
      <c r="L15" s="24" t="s">
        <v>38</v>
      </c>
      <c r="M15" s="24" t="s">
        <v>38</v>
      </c>
      <c r="N15" s="24" t="s">
        <v>38</v>
      </c>
      <c r="O15" s="25">
        <v>25</v>
      </c>
      <c r="P15" s="26">
        <v>0.33333333333333331</v>
      </c>
      <c r="Q15" s="25">
        <v>25</v>
      </c>
      <c r="R15" s="26">
        <v>0.41666666666666669</v>
      </c>
      <c r="S15" s="25">
        <v>25</v>
      </c>
      <c r="T15" s="26">
        <v>0.66666666666666663</v>
      </c>
      <c r="U15" s="25">
        <v>25</v>
      </c>
      <c r="V15" s="26">
        <v>0.75</v>
      </c>
      <c r="W15" s="36"/>
      <c r="X15" s="39"/>
      <c r="Y15" s="37"/>
      <c r="Z15" s="38"/>
      <c r="AA15" s="37"/>
      <c r="AB15" s="38"/>
      <c r="AC15" s="39"/>
      <c r="AD15" s="37"/>
      <c r="AE15" s="40"/>
      <c r="AF15" s="40"/>
      <c r="AG15" s="32">
        <f t="shared" si="0"/>
        <v>1</v>
      </c>
      <c r="AH15" s="33">
        <f t="shared" si="1"/>
        <v>0</v>
      </c>
      <c r="AI15" s="34">
        <f>IFERROR(IF(AG15=0,"",VLOOKUP($D15,Суточные!$A$2:$C$13,3,0)),"")</f>
        <v>1700</v>
      </c>
      <c r="AJ15" s="35">
        <f t="shared" si="2"/>
        <v>0</v>
      </c>
    </row>
    <row r="16" spans="1:36" ht="30">
      <c r="A16" s="15"/>
      <c r="B16" s="16" t="s">
        <v>46</v>
      </c>
      <c r="C16" s="17" t="str">
        <f>IFERROR(VLOOKUP(B16,Инфо!$A$2:$E$89,4,0),"")</f>
        <v>Сибирский</v>
      </c>
      <c r="D16" s="18" t="str">
        <f>IFERROR(VLOOKUP($B16,Инфо!$A$3:$E$91,5,0),"")</f>
        <v>Медицинский представитель ОТС</v>
      </c>
      <c r="E16" s="19" t="str">
        <f>IFERROR(IF(B16=0,"",IF(O16=U16,CONCATENATE(O16," ",VLOOKUP($A$1,Инфо!$K:$M,3,0)),CONCATENATE(O16,"-",U16," ",VLOOKUP($A$1,Инфо!$K:$M,3,0)))),"")</f>
        <v>9-11 декабря</v>
      </c>
      <c r="F16" s="20" t="s">
        <v>35</v>
      </c>
      <c r="G16" s="20" t="s">
        <v>47</v>
      </c>
      <c r="H16" s="21">
        <f>IF(F16="авто",VLOOKUP(G16,'Расстояние между городами'!C:D,2,0),"")</f>
        <v>319</v>
      </c>
      <c r="I16" s="42">
        <v>34</v>
      </c>
      <c r="J16" s="24" t="s">
        <v>37</v>
      </c>
      <c r="K16" s="23" t="s">
        <v>37</v>
      </c>
      <c r="L16" s="24" t="s">
        <v>38</v>
      </c>
      <c r="M16" s="24" t="s">
        <v>38</v>
      </c>
      <c r="N16" s="24" t="s">
        <v>38</v>
      </c>
      <c r="O16" s="25">
        <v>9</v>
      </c>
      <c r="P16" s="26">
        <v>0.29166666666666669</v>
      </c>
      <c r="Q16" s="25">
        <v>9</v>
      </c>
      <c r="R16" s="26">
        <v>0.375</v>
      </c>
      <c r="S16" s="25">
        <v>11</v>
      </c>
      <c r="T16" s="26">
        <v>0.66666666666666663</v>
      </c>
      <c r="U16" s="25">
        <v>11</v>
      </c>
      <c r="V16" s="26">
        <v>0.75</v>
      </c>
      <c r="W16" s="36"/>
      <c r="X16" s="39"/>
      <c r="Y16" s="37"/>
      <c r="Z16" s="38"/>
      <c r="AA16" s="37"/>
      <c r="AB16" s="38"/>
      <c r="AC16" s="39"/>
      <c r="AD16" s="37"/>
      <c r="AE16" s="40"/>
      <c r="AF16" s="40"/>
      <c r="AG16" s="32">
        <f t="shared" si="0"/>
        <v>3</v>
      </c>
      <c r="AH16" s="33">
        <f t="shared" si="1"/>
        <v>2</v>
      </c>
      <c r="AI16" s="34">
        <f>IFERROR(IF(AG16=0,"",VLOOKUP($D16,Суточные!$A$2:$C$13,3,0)),"")</f>
        <v>1700</v>
      </c>
      <c r="AJ16" s="35">
        <f t="shared" si="2"/>
        <v>5100</v>
      </c>
    </row>
    <row r="17" spans="1:36" ht="30">
      <c r="A17" s="15"/>
      <c r="B17" s="16" t="s">
        <v>48</v>
      </c>
      <c r="C17" s="17" t="str">
        <f>IFERROR(VLOOKUP(B17,Инфо!$A$2:$E$89,4,0),"")</f>
        <v>Волжский</v>
      </c>
      <c r="D17" s="18" t="str">
        <f>IFERROR(VLOOKUP($B17,Инфо!$A$3:$E$91,5,0),"")</f>
        <v>Медицинский представитель ОТС</v>
      </c>
      <c r="E17" s="19" t="str">
        <f>IFERROR(IF(B17=0,"",IF(O17=U17,CONCATENATE(O17," ",VLOOKUP($A$1,Инфо!$K:$M,3,0)),CONCATENATE(O17,"-",U17," ",VLOOKUP($A$1,Инфо!$K:$M,3,0)))),"")</f>
        <v>2 декабря</v>
      </c>
      <c r="F17" s="20" t="s">
        <v>35</v>
      </c>
      <c r="G17" s="20" t="s">
        <v>49</v>
      </c>
      <c r="H17" s="21">
        <f>IF(F17="авто",VLOOKUP(G17,'Расстояние между городами'!C:D,2,0),"")</f>
        <v>164</v>
      </c>
      <c r="I17" s="42">
        <v>12</v>
      </c>
      <c r="J17" s="24"/>
      <c r="K17" s="23"/>
      <c r="L17" s="24" t="s">
        <v>38</v>
      </c>
      <c r="M17" s="24" t="s">
        <v>38</v>
      </c>
      <c r="N17" s="24" t="s">
        <v>38</v>
      </c>
      <c r="O17" s="25">
        <v>2</v>
      </c>
      <c r="P17" s="26">
        <v>0.33333333333333331</v>
      </c>
      <c r="Q17" s="25">
        <v>2</v>
      </c>
      <c r="R17" s="26">
        <v>0.375</v>
      </c>
      <c r="S17" s="25">
        <v>2</v>
      </c>
      <c r="T17" s="26">
        <v>0.66666666666666663</v>
      </c>
      <c r="U17" s="25">
        <v>2</v>
      </c>
      <c r="V17" s="26">
        <v>0.75</v>
      </c>
      <c r="W17" s="36"/>
      <c r="X17" s="39"/>
      <c r="Y17" s="37"/>
      <c r="Z17" s="38"/>
      <c r="AA17" s="37"/>
      <c r="AB17" s="38"/>
      <c r="AC17" s="39"/>
      <c r="AD17" s="37"/>
      <c r="AE17" s="40"/>
      <c r="AF17" s="40"/>
      <c r="AG17" s="32">
        <f t="shared" si="0"/>
        <v>1</v>
      </c>
      <c r="AH17" s="33">
        <f t="shared" si="1"/>
        <v>0</v>
      </c>
      <c r="AI17" s="34">
        <f>IFERROR(IF(AG17=0,"",VLOOKUP($D17,Суточные!$A$2:$C$13,3,0)),"")</f>
        <v>1700</v>
      </c>
      <c r="AJ17" s="35">
        <f t="shared" si="2"/>
        <v>0</v>
      </c>
    </row>
    <row r="18" spans="1:36" ht="30">
      <c r="A18" s="15"/>
      <c r="B18" s="16" t="s">
        <v>48</v>
      </c>
      <c r="C18" s="17" t="str">
        <f>IFERROR(VLOOKUP(B18,Инфо!$A$2:$E$89,4,0),"")</f>
        <v>Волжский</v>
      </c>
      <c r="D18" s="18" t="str">
        <f>IFERROR(VLOOKUP($B18,Инфо!$A$3:$E$91,5,0),"")</f>
        <v>Медицинский представитель ОТС</v>
      </c>
      <c r="E18" s="19" t="str">
        <f>IFERROR(IF(B18=0,"",IF(O18=U18,CONCATENATE(O18," ",VLOOKUP($A$1,Инфо!$K:$M,3,0)),CONCATENATE(O18,"-",U18," ",VLOOKUP($A$1,Инфо!$K:$M,3,0)))),"")</f>
        <v>4 декабря</v>
      </c>
      <c r="F18" s="20" t="s">
        <v>35</v>
      </c>
      <c r="G18" s="20" t="s">
        <v>50</v>
      </c>
      <c r="H18" s="21">
        <f>IF(F18="авто",VLOOKUP(G18,'Расстояние между городами'!C:D,2,0),"")</f>
        <v>186</v>
      </c>
      <c r="I18" s="42">
        <v>14</v>
      </c>
      <c r="J18" s="24"/>
      <c r="K18" s="23"/>
      <c r="L18" s="24" t="s">
        <v>38</v>
      </c>
      <c r="M18" s="24" t="s">
        <v>38</v>
      </c>
      <c r="N18" s="24" t="s">
        <v>38</v>
      </c>
      <c r="O18" s="25">
        <v>4</v>
      </c>
      <c r="P18" s="26">
        <v>0.29166666666666669</v>
      </c>
      <c r="Q18" s="25">
        <v>4</v>
      </c>
      <c r="R18" s="26">
        <v>0.375</v>
      </c>
      <c r="S18" s="25">
        <v>4</v>
      </c>
      <c r="T18" s="26">
        <v>0.66666666666666663</v>
      </c>
      <c r="U18" s="25">
        <v>4</v>
      </c>
      <c r="V18" s="26">
        <v>0.75</v>
      </c>
      <c r="W18" s="36"/>
      <c r="X18" s="39"/>
      <c r="Y18" s="37"/>
      <c r="Z18" s="37"/>
      <c r="AA18" s="37"/>
      <c r="AB18" s="37"/>
      <c r="AC18" s="39"/>
      <c r="AD18" s="37"/>
      <c r="AE18" s="40"/>
      <c r="AF18" s="40"/>
      <c r="AG18" s="32">
        <f t="shared" si="0"/>
        <v>1</v>
      </c>
      <c r="AH18" s="33">
        <f t="shared" si="1"/>
        <v>0</v>
      </c>
      <c r="AI18" s="34">
        <f>IFERROR(IF(AG18=0,"",VLOOKUP($D18,Суточные!$A$2:$C$13,3,0)),"")</f>
        <v>1700</v>
      </c>
      <c r="AJ18" s="35">
        <f t="shared" si="2"/>
        <v>0</v>
      </c>
    </row>
    <row r="19" spans="1:36" ht="30">
      <c r="A19" s="15"/>
      <c r="B19" s="16" t="s">
        <v>48</v>
      </c>
      <c r="C19" s="17" t="str">
        <f>IFERROR(VLOOKUP(B19,Инфо!$A$2:$E$89,4,0),"")</f>
        <v>Волжский</v>
      </c>
      <c r="D19" s="18" t="str">
        <f>IFERROR(VLOOKUP($B19,Инфо!$A$3:$E$91,5,0),"")</f>
        <v>Медицинский представитель ОТС</v>
      </c>
      <c r="E19" s="19" t="str">
        <f>IFERROR(IF(B19=0,"",IF(O19=U19,CONCATENATE(O19," ",VLOOKUP($A$1,Инфо!$K:$M,3,0)),CONCATENATE(O19,"-",U19," ",VLOOKUP($A$1,Инфо!$K:$M,3,0)))),"")</f>
        <v>11 декабря</v>
      </c>
      <c r="F19" s="20" t="s">
        <v>35</v>
      </c>
      <c r="G19" s="20" t="s">
        <v>49</v>
      </c>
      <c r="H19" s="21">
        <f>IF(F19="авто",VLOOKUP(G19,'Расстояние между городами'!C:D,2,0),"")</f>
        <v>164</v>
      </c>
      <c r="I19" s="42">
        <v>12</v>
      </c>
      <c r="J19" s="24"/>
      <c r="K19" s="23"/>
      <c r="L19" s="24" t="s">
        <v>38</v>
      </c>
      <c r="M19" s="24" t="s">
        <v>38</v>
      </c>
      <c r="N19" s="24" t="s">
        <v>38</v>
      </c>
      <c r="O19" s="25">
        <v>11</v>
      </c>
      <c r="P19" s="26">
        <v>0.33333333333333331</v>
      </c>
      <c r="Q19" s="25">
        <v>11</v>
      </c>
      <c r="R19" s="26">
        <v>0.375</v>
      </c>
      <c r="S19" s="25">
        <v>11</v>
      </c>
      <c r="T19" s="26">
        <v>0.66666666666666663</v>
      </c>
      <c r="U19" s="25">
        <v>11</v>
      </c>
      <c r="V19" s="26">
        <v>0.75</v>
      </c>
      <c r="W19" s="41"/>
      <c r="X19" s="39"/>
      <c r="Y19" s="37"/>
      <c r="Z19" s="38"/>
      <c r="AA19" s="37"/>
      <c r="AB19" s="38"/>
      <c r="AC19" s="39"/>
      <c r="AD19" s="37"/>
      <c r="AE19" s="40"/>
      <c r="AF19" s="40"/>
      <c r="AG19" s="32">
        <f t="shared" si="0"/>
        <v>1</v>
      </c>
      <c r="AH19" s="33">
        <f t="shared" si="1"/>
        <v>0</v>
      </c>
      <c r="AI19" s="34">
        <f>IFERROR(IF(AG19=0,"",VLOOKUP($D19,Суточные!$A$2:$C$13,3,0)),"")</f>
        <v>1700</v>
      </c>
      <c r="AJ19" s="35">
        <f t="shared" si="2"/>
        <v>0</v>
      </c>
    </row>
    <row r="20" spans="1:36" ht="30">
      <c r="A20" s="15"/>
      <c r="B20" s="16" t="s">
        <v>48</v>
      </c>
      <c r="C20" s="17" t="str">
        <f>IFERROR(VLOOKUP(B20,Инфо!$A$2:$E$89,4,0),"")</f>
        <v>Волжский</v>
      </c>
      <c r="D20" s="18" t="str">
        <f>IFERROR(VLOOKUP($B20,Инфо!$A$3:$E$91,5,0),"")</f>
        <v>Медицинский представитель ОТС</v>
      </c>
      <c r="E20" s="19" t="str">
        <f>IFERROR(IF(B20=0,"",IF(O20=U20,CONCATENATE(O20," ",VLOOKUP($A$1,Инфо!$K:$M,3,0)),CONCATENATE(O20,"-",U20," ",VLOOKUP($A$1,Инфо!$K:$M,3,0)))),"")</f>
        <v>16 декабря</v>
      </c>
      <c r="F20" s="20" t="s">
        <v>35</v>
      </c>
      <c r="G20" s="20" t="s">
        <v>49</v>
      </c>
      <c r="H20" s="21">
        <f>IF(F20="авто",VLOOKUP(G20,'Расстояние между городами'!C:D,2,0),"")</f>
        <v>164</v>
      </c>
      <c r="I20" s="42">
        <v>12</v>
      </c>
      <c r="J20" s="24"/>
      <c r="K20" s="23"/>
      <c r="L20" s="24" t="s">
        <v>38</v>
      </c>
      <c r="M20" s="24" t="s">
        <v>38</v>
      </c>
      <c r="N20" s="24" t="s">
        <v>38</v>
      </c>
      <c r="O20" s="25">
        <v>16</v>
      </c>
      <c r="P20" s="26">
        <v>0.33333333333333331</v>
      </c>
      <c r="Q20" s="25">
        <v>16</v>
      </c>
      <c r="R20" s="26">
        <v>0.375</v>
      </c>
      <c r="S20" s="25">
        <v>16</v>
      </c>
      <c r="T20" s="26">
        <v>0.66666666666666663</v>
      </c>
      <c r="U20" s="25">
        <v>16</v>
      </c>
      <c r="V20" s="26">
        <v>0.75</v>
      </c>
      <c r="W20" s="41"/>
      <c r="X20" s="39"/>
      <c r="Y20" s="37"/>
      <c r="Z20" s="38"/>
      <c r="AA20" s="37"/>
      <c r="AB20" s="38"/>
      <c r="AC20" s="39"/>
      <c r="AD20" s="37"/>
      <c r="AE20" s="40"/>
      <c r="AF20" s="40"/>
      <c r="AG20" s="32">
        <f t="shared" si="0"/>
        <v>1</v>
      </c>
      <c r="AH20" s="33">
        <f t="shared" si="1"/>
        <v>0</v>
      </c>
      <c r="AI20" s="34">
        <f>IFERROR(IF(AG20=0,"",VLOOKUP($D20,Суточные!$A$2:$C$13,3,0)),"")</f>
        <v>1700</v>
      </c>
      <c r="AJ20" s="35">
        <f t="shared" si="2"/>
        <v>0</v>
      </c>
    </row>
    <row r="21" spans="1:36" ht="17.25" customHeight="1">
      <c r="A21" s="15"/>
      <c r="B21" s="44" t="s">
        <v>48</v>
      </c>
      <c r="C21" s="17" t="str">
        <f>IFERROR(VLOOKUP(B21,Инфо!$A$2:$E$89,4,0),"")</f>
        <v>Волжский</v>
      </c>
      <c r="D21" s="18" t="str">
        <f>IFERROR(VLOOKUP($B21,Инфо!$A$3:$E$91,5,0),"")</f>
        <v>Медицинский представитель ОТС</v>
      </c>
      <c r="E21" s="19" t="str">
        <f>IFERROR(IF(B21=0,"",IF(O21=U21,CONCATENATE(O21," ",VLOOKUP($A$1,Инфо!$K:$M,3,0)),CONCATENATE(O21,"-",U21," ",VLOOKUP($A$1,Инфо!$K:$M,3,0)))),"")</f>
        <v>18 декабря</v>
      </c>
      <c r="F21" s="20" t="s">
        <v>35</v>
      </c>
      <c r="G21" s="20" t="s">
        <v>50</v>
      </c>
      <c r="H21" s="21">
        <f>IF(F21="авто",VLOOKUP(G21,'Расстояние между городами'!C:D,2,0),"")</f>
        <v>186</v>
      </c>
      <c r="I21" s="42">
        <v>14</v>
      </c>
      <c r="J21" s="24"/>
      <c r="K21" s="23"/>
      <c r="L21" s="24" t="s">
        <v>38</v>
      </c>
      <c r="M21" s="24" t="s">
        <v>38</v>
      </c>
      <c r="N21" s="24" t="s">
        <v>38</v>
      </c>
      <c r="O21" s="25">
        <v>18</v>
      </c>
      <c r="P21" s="26">
        <v>0.29166666666666669</v>
      </c>
      <c r="Q21" s="25">
        <v>18</v>
      </c>
      <c r="R21" s="26">
        <v>0.375</v>
      </c>
      <c r="S21" s="25">
        <v>18</v>
      </c>
      <c r="T21" s="26">
        <v>0.66666666666666663</v>
      </c>
      <c r="U21" s="25">
        <v>18</v>
      </c>
      <c r="V21" s="26">
        <v>0.75</v>
      </c>
      <c r="W21" s="45"/>
      <c r="X21" s="39"/>
      <c r="Y21" s="37"/>
      <c r="Z21" s="38"/>
      <c r="AA21" s="37"/>
      <c r="AB21" s="38"/>
      <c r="AC21" s="39"/>
      <c r="AD21" s="37"/>
      <c r="AE21" s="40"/>
      <c r="AF21" s="40"/>
      <c r="AG21" s="32">
        <f t="shared" si="0"/>
        <v>1</v>
      </c>
      <c r="AH21" s="33">
        <f t="shared" si="1"/>
        <v>0</v>
      </c>
      <c r="AI21" s="34">
        <f>IFERROR(IF(AG21=0,"",VLOOKUP($D21,Суточные!$A$2:$C$13,3,0)),"")</f>
        <v>1700</v>
      </c>
      <c r="AJ21" s="35">
        <f t="shared" si="2"/>
        <v>0</v>
      </c>
    </row>
    <row r="22" spans="1:36" ht="30">
      <c r="A22" s="15"/>
      <c r="B22" s="44" t="s">
        <v>48</v>
      </c>
      <c r="C22" s="17" t="str">
        <f>IFERROR(VLOOKUP(B22,Инфо!$A$2:$E$89,4,0),"")</f>
        <v>Волжский</v>
      </c>
      <c r="D22" s="18" t="str">
        <f>IFERROR(VLOOKUP($B22,Инфо!$A$3:$E$91,5,0),"")</f>
        <v>Медицинский представитель ОТС</v>
      </c>
      <c r="E22" s="19" t="str">
        <f>IFERROR(IF(B22=0,"",IF(O22=U22,CONCATENATE(O22," ",VLOOKUP($A$1,Инфо!$K:$M,3,0)),CONCATENATE(O22,"-",U22," ",VLOOKUP($A$1,Инфо!$K:$M,3,0)))),"")</f>
        <v>25 декабря</v>
      </c>
      <c r="F22" s="20" t="s">
        <v>35</v>
      </c>
      <c r="G22" s="20" t="s">
        <v>49</v>
      </c>
      <c r="H22" s="21">
        <f>IF(F22="авто",VLOOKUP(G22,'Расстояние между городами'!C:D,2,0),"")</f>
        <v>164</v>
      </c>
      <c r="I22" s="42">
        <v>12</v>
      </c>
      <c r="J22" s="24"/>
      <c r="K22" s="23"/>
      <c r="L22" s="24" t="s">
        <v>38</v>
      </c>
      <c r="M22" s="24" t="s">
        <v>38</v>
      </c>
      <c r="N22" s="24" t="s">
        <v>38</v>
      </c>
      <c r="O22" s="25">
        <v>25</v>
      </c>
      <c r="P22" s="26">
        <v>0.33333333333333331</v>
      </c>
      <c r="Q22" s="25">
        <v>25</v>
      </c>
      <c r="R22" s="26">
        <v>0.375</v>
      </c>
      <c r="S22" s="25">
        <v>25</v>
      </c>
      <c r="T22" s="26">
        <v>0.66666666666666663</v>
      </c>
      <c r="U22" s="25">
        <v>25</v>
      </c>
      <c r="V22" s="26">
        <v>0.75</v>
      </c>
      <c r="W22" s="41"/>
      <c r="X22" s="39"/>
      <c r="Y22" s="37"/>
      <c r="Z22" s="38"/>
      <c r="AA22" s="37"/>
      <c r="AB22" s="38"/>
      <c r="AC22" s="39"/>
      <c r="AD22" s="37"/>
      <c r="AE22" s="40"/>
      <c r="AF22" s="40"/>
      <c r="AG22" s="32">
        <f t="shared" si="0"/>
        <v>1</v>
      </c>
      <c r="AH22" s="33">
        <f t="shared" si="1"/>
        <v>0</v>
      </c>
      <c r="AI22" s="34">
        <f>IFERROR(IF(AG22=0,"",VLOOKUP($D22,Суточные!$A$2:$C$13,3,0)),"")</f>
        <v>1700</v>
      </c>
      <c r="AJ22" s="35">
        <f t="shared" si="2"/>
        <v>0</v>
      </c>
    </row>
    <row r="23" spans="1:36" ht="30">
      <c r="A23" s="15"/>
      <c r="B23" s="44" t="s">
        <v>51</v>
      </c>
      <c r="C23" s="17" t="str">
        <f>IFERROR(VLOOKUP(B23,Инфо!$A$2:$E$89,4,0),"")</f>
        <v>Сибирский</v>
      </c>
      <c r="D23" s="18" t="str">
        <f>IFERROR(VLOOKUP($B23,Инфо!$A$3:$E$91,5,0),"")</f>
        <v>Медицинский представитель ОТС</v>
      </c>
      <c r="E23" s="19" t="str">
        <f>IFERROR(IF(B23=0,"",IF(O23=U23,CONCATENATE(O23," ",VLOOKUP($A$1,Инфо!$K:$M,3,0)),CONCATENATE(O23,"-",U23," ",VLOOKUP($A$1,Инфо!$K:$M,3,0)))),"")</f>
        <v>8-9 декабря</v>
      </c>
      <c r="F23" s="20" t="s">
        <v>35</v>
      </c>
      <c r="G23" s="20" t="s">
        <v>52</v>
      </c>
      <c r="H23" s="21">
        <f>IF(F23="авто",VLOOKUP(G23,'Расстояние между городами'!C:D,2,0),"")</f>
        <v>295</v>
      </c>
      <c r="I23" s="42">
        <v>16</v>
      </c>
      <c r="J23" s="24" t="s">
        <v>37</v>
      </c>
      <c r="K23" s="23" t="s">
        <v>37</v>
      </c>
      <c r="L23" s="24" t="s">
        <v>38</v>
      </c>
      <c r="M23" s="24" t="s">
        <v>53</v>
      </c>
      <c r="N23" s="24" t="s">
        <v>38</v>
      </c>
      <c r="O23" s="25">
        <v>8</v>
      </c>
      <c r="P23" s="26">
        <v>0.375</v>
      </c>
      <c r="Q23" s="25">
        <v>8</v>
      </c>
      <c r="R23" s="26">
        <v>0.45833333333333331</v>
      </c>
      <c r="S23" s="25">
        <v>9</v>
      </c>
      <c r="T23" s="26">
        <v>0.70833333333333337</v>
      </c>
      <c r="U23" s="25">
        <v>9</v>
      </c>
      <c r="V23" s="26">
        <v>0.79166666666666663</v>
      </c>
      <c r="W23" s="41"/>
      <c r="X23" s="39" t="s">
        <v>54</v>
      </c>
      <c r="Y23" s="37" t="s">
        <v>55</v>
      </c>
      <c r="Z23" s="38" t="s">
        <v>56</v>
      </c>
      <c r="AA23" s="37"/>
      <c r="AB23" s="37"/>
      <c r="AC23" s="39"/>
      <c r="AD23" s="37"/>
      <c r="AE23" s="40"/>
      <c r="AF23" s="40"/>
      <c r="AG23" s="32">
        <f t="shared" si="0"/>
        <v>2</v>
      </c>
      <c r="AH23" s="33">
        <f t="shared" si="1"/>
        <v>1</v>
      </c>
      <c r="AI23" s="34">
        <f>IFERROR(IF(AG23=0,"",VLOOKUP($D23,Суточные!$A$2:$C$13,3,0)),"")</f>
        <v>1700</v>
      </c>
      <c r="AJ23" s="35">
        <f t="shared" si="2"/>
        <v>3400</v>
      </c>
    </row>
    <row r="24" spans="1:36" ht="30">
      <c r="A24" s="15"/>
      <c r="B24" s="44" t="s">
        <v>51</v>
      </c>
      <c r="C24" s="17" t="str">
        <f>IFERROR(VLOOKUP(B24,Инфо!$A$2:$E$89,4,0),"")</f>
        <v>Сибирский</v>
      </c>
      <c r="D24" s="18" t="str">
        <f>IFERROR(VLOOKUP($B24,Инфо!$A$3:$E$91,5,0),"")</f>
        <v>Медицинский представитель ОТС</v>
      </c>
      <c r="E24" s="19" t="str">
        <f>IFERROR(IF(B24=0,"",IF(O24=U24,CONCATENATE(O24," ",VLOOKUP($A$1,Инфо!$K:$M,3,0)),CONCATENATE(O24,"-",U24," ",VLOOKUP($A$1,Инфо!$K:$M,3,0)))),"")</f>
        <v>22-23 декабря</v>
      </c>
      <c r="F24" s="20" t="s">
        <v>35</v>
      </c>
      <c r="G24" s="20" t="s">
        <v>52</v>
      </c>
      <c r="H24" s="21">
        <f>IF(F24="авто",VLOOKUP(G24,'Расстояние между городами'!C:D,2,0),"")</f>
        <v>295</v>
      </c>
      <c r="I24" s="42">
        <v>14</v>
      </c>
      <c r="J24" s="24" t="s">
        <v>37</v>
      </c>
      <c r="K24" s="24" t="s">
        <v>37</v>
      </c>
      <c r="L24" s="24" t="s">
        <v>38</v>
      </c>
      <c r="M24" s="24" t="s">
        <v>53</v>
      </c>
      <c r="N24" s="24" t="s">
        <v>38</v>
      </c>
      <c r="O24" s="25">
        <v>22</v>
      </c>
      <c r="P24" s="26">
        <v>0.375</v>
      </c>
      <c r="Q24" s="25">
        <v>22</v>
      </c>
      <c r="R24" s="26">
        <v>0.45833333333333331</v>
      </c>
      <c r="S24" s="25">
        <v>23</v>
      </c>
      <c r="T24" s="26">
        <v>0.70833333333333337</v>
      </c>
      <c r="U24" s="25">
        <v>23</v>
      </c>
      <c r="V24" s="26">
        <v>0.79166666666666663</v>
      </c>
      <c r="W24" s="41"/>
      <c r="X24" s="39" t="s">
        <v>54</v>
      </c>
      <c r="Y24" s="37" t="s">
        <v>55</v>
      </c>
      <c r="Z24" s="38" t="s">
        <v>56</v>
      </c>
      <c r="AA24" s="37"/>
      <c r="AB24" s="38"/>
      <c r="AC24" s="39"/>
      <c r="AD24" s="37"/>
      <c r="AE24" s="40"/>
      <c r="AF24" s="40"/>
      <c r="AG24" s="32">
        <f t="shared" si="0"/>
        <v>2</v>
      </c>
      <c r="AH24" s="33">
        <f t="shared" si="1"/>
        <v>1</v>
      </c>
      <c r="AI24" s="34">
        <f>IFERROR(IF(AG24=0,"",VLOOKUP($D24,Суточные!$A$2:$C$13,3,0)),"")</f>
        <v>1700</v>
      </c>
      <c r="AJ24" s="35">
        <f t="shared" si="2"/>
        <v>3400</v>
      </c>
    </row>
    <row r="25" spans="1:36" ht="30">
      <c r="A25" s="15"/>
      <c r="B25" s="44" t="s">
        <v>57</v>
      </c>
      <c r="C25" s="17" t="str">
        <f>IFERROR(VLOOKUP(B25,Инфо!$A$2:$E$89,4,0),"")</f>
        <v>Волжский</v>
      </c>
      <c r="D25" s="18" t="str">
        <f>IFERROR(VLOOKUP($B25,Инфо!$A$3:$E$91,5,0),"")</f>
        <v>Медицинский представитель ОТС</v>
      </c>
      <c r="E25" s="19" t="str">
        <f>IFERROR(IF(B25=0,"",IF(O25=U25,CONCATENATE(O25," ",VLOOKUP($A$1,Инфо!$K:$M,3,0)),CONCATENATE(O25,"-",U25," ",VLOOKUP($A$1,Инфо!$K:$M,3,0)))),"")</f>
        <v>2 декабря</v>
      </c>
      <c r="F25" s="20" t="s">
        <v>35</v>
      </c>
      <c r="G25" s="46" t="s">
        <v>58</v>
      </c>
      <c r="H25" s="21">
        <f>IF(F25="авто",VLOOKUP(G25,'Расстояние между городами'!C:D,2,0),"")</f>
        <v>146</v>
      </c>
      <c r="I25" s="42">
        <v>12</v>
      </c>
      <c r="J25" s="24"/>
      <c r="K25" s="24"/>
      <c r="L25" s="24" t="s">
        <v>38</v>
      </c>
      <c r="M25" s="24" t="s">
        <v>38</v>
      </c>
      <c r="N25" s="24" t="s">
        <v>38</v>
      </c>
      <c r="O25" s="25">
        <v>2</v>
      </c>
      <c r="P25" s="26">
        <v>0.375</v>
      </c>
      <c r="Q25" s="25">
        <v>2</v>
      </c>
      <c r="R25" s="26">
        <v>0.45833333333333331</v>
      </c>
      <c r="S25" s="25">
        <v>2</v>
      </c>
      <c r="T25" s="26">
        <v>0.70833333333333337</v>
      </c>
      <c r="U25" s="25">
        <v>2</v>
      </c>
      <c r="V25" s="26">
        <v>0.79166666666666663</v>
      </c>
      <c r="W25" s="41"/>
      <c r="X25" s="39"/>
      <c r="Y25" s="37"/>
      <c r="Z25" s="38"/>
      <c r="AA25" s="37"/>
      <c r="AB25" s="38"/>
      <c r="AC25" s="39"/>
      <c r="AD25" s="37"/>
      <c r="AE25" s="40"/>
      <c r="AF25" s="40"/>
      <c r="AG25" s="32">
        <f t="shared" si="0"/>
        <v>1</v>
      </c>
      <c r="AH25" s="33">
        <f t="shared" si="1"/>
        <v>0</v>
      </c>
      <c r="AI25" s="34">
        <f>IFERROR(IF(AG25=0,"",VLOOKUP($D25,Суточные!$A$2:$C$13,3,0)),"")</f>
        <v>1700</v>
      </c>
      <c r="AJ25" s="35">
        <f t="shared" si="2"/>
        <v>0</v>
      </c>
    </row>
    <row r="26" spans="1:36" ht="30">
      <c r="A26" s="15"/>
      <c r="B26" s="44" t="s">
        <v>57</v>
      </c>
      <c r="C26" s="17" t="str">
        <f>IFERROR(VLOOKUP(B26,Инфо!$A$2:$E$89,4,0),"")</f>
        <v>Волжский</v>
      </c>
      <c r="D26" s="18" t="str">
        <f>IFERROR(VLOOKUP($B26,Инфо!$A$3:$E$91,5,0),"")</f>
        <v>Медицинский представитель ОТС</v>
      </c>
      <c r="E26" s="19" t="str">
        <f>IFERROR(IF(B26=0,"",IF(O26=U26,CONCATENATE(O26," ",VLOOKUP($A$1,Инфо!$K:$M,3,0)),CONCATENATE(O26,"-",U26," ",VLOOKUP($A$1,Инфо!$K:$M,3,0)))),"")</f>
        <v>4 декабря</v>
      </c>
      <c r="F26" s="20" t="s">
        <v>35</v>
      </c>
      <c r="G26" s="20" t="s">
        <v>59</v>
      </c>
      <c r="H26" s="21">
        <f>IF(F26="авто",VLOOKUP(G26,'Расстояние между городами'!C:D,2,0),"")</f>
        <v>191</v>
      </c>
      <c r="I26" s="42">
        <v>14</v>
      </c>
      <c r="J26" s="24"/>
      <c r="K26" s="24"/>
      <c r="L26" s="24" t="s">
        <v>38</v>
      </c>
      <c r="M26" s="24" t="s">
        <v>38</v>
      </c>
      <c r="N26" s="24" t="s">
        <v>38</v>
      </c>
      <c r="O26" s="25">
        <v>4</v>
      </c>
      <c r="P26" s="26">
        <v>0.375</v>
      </c>
      <c r="Q26" s="25">
        <v>4</v>
      </c>
      <c r="R26" s="26">
        <v>0.45833333333333331</v>
      </c>
      <c r="S26" s="25">
        <v>4</v>
      </c>
      <c r="T26" s="26">
        <v>0.70833333333333337</v>
      </c>
      <c r="U26" s="25">
        <v>4</v>
      </c>
      <c r="V26" s="26">
        <v>0.79166666666666663</v>
      </c>
      <c r="W26" s="41"/>
      <c r="X26" s="39"/>
      <c r="Y26" s="37"/>
      <c r="Z26" s="38"/>
      <c r="AA26" s="37"/>
      <c r="AB26" s="38"/>
      <c r="AC26" s="39"/>
      <c r="AD26" s="37"/>
      <c r="AE26" s="40"/>
      <c r="AF26" s="40"/>
      <c r="AG26" s="32">
        <f t="shared" si="0"/>
        <v>1</v>
      </c>
      <c r="AH26" s="33">
        <f t="shared" si="1"/>
        <v>0</v>
      </c>
      <c r="AI26" s="34">
        <f>IFERROR(IF(AG26=0,"",VLOOKUP($D26,Суточные!$A$2:$C$13,3,0)),"")</f>
        <v>1700</v>
      </c>
      <c r="AJ26" s="35">
        <f t="shared" si="2"/>
        <v>0</v>
      </c>
    </row>
    <row r="27" spans="1:36" ht="30">
      <c r="A27" s="15"/>
      <c r="B27" s="44" t="s">
        <v>57</v>
      </c>
      <c r="C27" s="17" t="str">
        <f>IFERROR(VLOOKUP(B27,Инфо!$A$2:$E$89,4,0),"")</f>
        <v>Волжский</v>
      </c>
      <c r="D27" s="18" t="str">
        <f>IFERROR(VLOOKUP($B27,Инфо!$A$3:$E$91,5,0),"")</f>
        <v>Медицинский представитель ОТС</v>
      </c>
      <c r="E27" s="19" t="str">
        <f>IFERROR(IF(B27=0,"",IF(O27=U27,CONCATENATE(O27," ",VLOOKUP($A$1,Инфо!$K:$M,3,0)),CONCATENATE(O27,"-",U27," ",VLOOKUP($A$1,Инфо!$K:$M,3,0)))),"")</f>
        <v>18-19 декабря</v>
      </c>
      <c r="F27" s="20" t="s">
        <v>35</v>
      </c>
      <c r="G27" s="20" t="s">
        <v>60</v>
      </c>
      <c r="H27" s="21">
        <f>IF(F27="авто",VLOOKUP(G27,'Расстояние между городами'!C:D,2,0),"")</f>
        <v>510</v>
      </c>
      <c r="I27" s="42">
        <v>24</v>
      </c>
      <c r="J27" s="24"/>
      <c r="K27" s="24"/>
      <c r="L27" s="24" t="s">
        <v>38</v>
      </c>
      <c r="M27" s="24" t="s">
        <v>38</v>
      </c>
      <c r="N27" s="24" t="s">
        <v>38</v>
      </c>
      <c r="O27" s="25">
        <v>18</v>
      </c>
      <c r="P27" s="26">
        <v>0.375</v>
      </c>
      <c r="Q27" s="25">
        <v>18</v>
      </c>
      <c r="R27" s="26">
        <v>0.45833333333333331</v>
      </c>
      <c r="S27" s="25">
        <v>19</v>
      </c>
      <c r="T27" s="26">
        <v>0.70833333333333337</v>
      </c>
      <c r="U27" s="25">
        <v>19</v>
      </c>
      <c r="V27" s="26">
        <v>0.79166666666666663</v>
      </c>
      <c r="W27" s="41"/>
      <c r="X27" s="39" t="s">
        <v>61</v>
      </c>
      <c r="Y27" s="37" t="s">
        <v>62</v>
      </c>
      <c r="Z27" s="38"/>
      <c r="AA27" s="37"/>
      <c r="AB27" s="38"/>
      <c r="AC27" s="39"/>
      <c r="AD27" s="37"/>
      <c r="AE27" s="40"/>
      <c r="AF27" s="40"/>
      <c r="AG27" s="32">
        <f t="shared" si="0"/>
        <v>2</v>
      </c>
      <c r="AH27" s="33">
        <f t="shared" si="1"/>
        <v>1</v>
      </c>
      <c r="AI27" s="34">
        <f>IFERROR(IF(AG27=0,"",VLOOKUP($D27,Суточные!$A$2:$C$13,3,0)),"")</f>
        <v>1700</v>
      </c>
      <c r="AJ27" s="35">
        <f t="shared" si="2"/>
        <v>3400</v>
      </c>
    </row>
    <row r="28" spans="1:36" ht="43.5">
      <c r="A28" s="15"/>
      <c r="B28" s="44" t="s">
        <v>57</v>
      </c>
      <c r="C28" s="17" t="str">
        <f>IFERROR(VLOOKUP(B28,Инфо!$A$2:$E$89,4,0),"")</f>
        <v>Волжский</v>
      </c>
      <c r="D28" s="18" t="str">
        <f>IFERROR(VLOOKUP($B28,Инфо!$A$3:$E$91,5,0),"")</f>
        <v>Медицинский представитель ОТС</v>
      </c>
      <c r="E28" s="19" t="str">
        <f>IFERROR(IF(B28=0,"",IF(O28=U28,CONCATENATE(O28," ",VLOOKUP($A$1,Инфо!$K:$M,3,0)),CONCATENATE(O28,"-",U28," ",VLOOKUP($A$1,Инфо!$K:$M,3,0)))),"")</f>
        <v>23 декабря</v>
      </c>
      <c r="F28" s="20" t="s">
        <v>35</v>
      </c>
      <c r="G28" s="20" t="s">
        <v>63</v>
      </c>
      <c r="H28" s="21">
        <f>IF(F28="авто",VLOOKUP(G28,'Расстояние между городами'!C:D,2,0),"")</f>
        <v>250</v>
      </c>
      <c r="I28" s="42">
        <v>14</v>
      </c>
      <c r="J28" s="24"/>
      <c r="K28" s="24"/>
      <c r="L28" s="24" t="s">
        <v>38</v>
      </c>
      <c r="M28" s="24" t="s">
        <v>38</v>
      </c>
      <c r="N28" s="24" t="s">
        <v>38</v>
      </c>
      <c r="O28" s="25">
        <v>23</v>
      </c>
      <c r="P28" s="26">
        <v>0.375</v>
      </c>
      <c r="Q28" s="25">
        <v>23</v>
      </c>
      <c r="R28" s="26">
        <v>0.45833333333333331</v>
      </c>
      <c r="S28" s="25">
        <v>23</v>
      </c>
      <c r="T28" s="26">
        <v>0.70833333333333337</v>
      </c>
      <c r="U28" s="25">
        <v>23</v>
      </c>
      <c r="V28" s="26">
        <v>0.79166666666666663</v>
      </c>
      <c r="W28" s="41"/>
      <c r="X28" s="39"/>
      <c r="Y28" s="37"/>
      <c r="Z28" s="38"/>
      <c r="AA28" s="37"/>
      <c r="AB28" s="38"/>
      <c r="AC28" s="39"/>
      <c r="AD28" s="37"/>
      <c r="AE28" s="40"/>
      <c r="AF28" s="40"/>
      <c r="AG28" s="32">
        <f t="shared" si="0"/>
        <v>1</v>
      </c>
      <c r="AH28" s="33">
        <f t="shared" si="1"/>
        <v>0</v>
      </c>
      <c r="AI28" s="34">
        <f>IFERROR(IF(AG28=0,"",VLOOKUP($D28,Суточные!$A$2:$C$13,3,0)),"")</f>
        <v>1700</v>
      </c>
      <c r="AJ28" s="35">
        <f t="shared" si="2"/>
        <v>0</v>
      </c>
    </row>
    <row r="29" spans="1:36" ht="30">
      <c r="A29" s="15"/>
      <c r="B29" s="44" t="s">
        <v>57</v>
      </c>
      <c r="C29" s="17" t="str">
        <f>IFERROR(VLOOKUP(B29,Инфо!$A$2:$E$89,4,0),"")</f>
        <v>Волжский</v>
      </c>
      <c r="D29" s="18" t="str">
        <f>IFERROR(VLOOKUP($B29,Инфо!$A$3:$E$91,5,0),"")</f>
        <v>Медицинский представитель ОТС</v>
      </c>
      <c r="E29" s="19" t="str">
        <f>IFERROR(IF(B29=0,"",IF(O29=U29,CONCATENATE(O29," ",VLOOKUP($A$1,Инфо!$K:$M,3,0)),CONCATENATE(O29,"-",U29," ",VLOOKUP($A$1,Инфо!$K:$M,3,0)))),"")</f>
        <v>25 декабря</v>
      </c>
      <c r="F29" s="20" t="s">
        <v>35</v>
      </c>
      <c r="G29" s="20" t="s">
        <v>64</v>
      </c>
      <c r="H29" s="21">
        <f>IF(F29="авто",VLOOKUP(G29,'Расстояние между городами'!C:D,2,0),"")</f>
        <v>170</v>
      </c>
      <c r="I29" s="42">
        <v>14</v>
      </c>
      <c r="J29" s="24"/>
      <c r="K29" s="24"/>
      <c r="L29" s="24" t="s">
        <v>38</v>
      </c>
      <c r="M29" s="24" t="s">
        <v>38</v>
      </c>
      <c r="N29" s="24" t="s">
        <v>38</v>
      </c>
      <c r="O29" s="25">
        <v>25</v>
      </c>
      <c r="P29" s="26">
        <v>0.375</v>
      </c>
      <c r="Q29" s="25">
        <v>25</v>
      </c>
      <c r="R29" s="26">
        <v>0.45833333333333331</v>
      </c>
      <c r="S29" s="25">
        <v>25</v>
      </c>
      <c r="T29" s="26">
        <v>0.70833333333333337</v>
      </c>
      <c r="U29" s="25">
        <v>25</v>
      </c>
      <c r="V29" s="26">
        <v>0.79166666666666663</v>
      </c>
      <c r="W29" s="36"/>
      <c r="X29" s="39"/>
      <c r="Y29" s="37"/>
      <c r="Z29" s="37"/>
      <c r="AA29" s="37"/>
      <c r="AB29" s="38"/>
      <c r="AC29" s="39"/>
      <c r="AD29" s="37"/>
      <c r="AE29" s="40"/>
      <c r="AF29" s="40"/>
      <c r="AG29" s="32">
        <f t="shared" si="0"/>
        <v>1</v>
      </c>
      <c r="AH29" s="33">
        <f t="shared" si="1"/>
        <v>0</v>
      </c>
      <c r="AI29" s="34">
        <f>IFERROR(IF(AG29=0,"",VLOOKUP($D29,Суточные!$A$2:$C$13,3,0)),"")</f>
        <v>1700</v>
      </c>
      <c r="AJ29" s="35">
        <f t="shared" si="2"/>
        <v>0</v>
      </c>
    </row>
    <row r="30" spans="1:36" ht="30">
      <c r="A30" s="15"/>
      <c r="B30" s="44" t="s">
        <v>65</v>
      </c>
      <c r="C30" s="17" t="str">
        <f>IFERROR(VLOOKUP(B30,Инфо!$A$2:$E$89,4,0),"")</f>
        <v>Волжский</v>
      </c>
      <c r="D30" s="18" t="str">
        <f>IFERROR(VLOOKUP($B30,Инфо!$A$3:$E$91,5,0),"")</f>
        <v>Медицинский представитель ОТС</v>
      </c>
      <c r="E30" s="19" t="str">
        <f>IFERROR(IF(B30=0,"",IF(O30=U30,CONCATENATE(O30," ",VLOOKUP($A$1,Инфо!$K:$M,3,0)),CONCATENATE(O30,"-",U30," ",VLOOKUP($A$1,Инфо!$K:$M,3,0)))),"")</f>
        <v>4 декабря</v>
      </c>
      <c r="F30" s="20" t="s">
        <v>35</v>
      </c>
      <c r="G30" s="20" t="s">
        <v>66</v>
      </c>
      <c r="H30" s="21">
        <f>IF(F30="авто",VLOOKUP(G30,'Расстояние между городами'!C:D,2,0),"")</f>
        <v>178</v>
      </c>
      <c r="I30" s="42">
        <v>14</v>
      </c>
      <c r="J30" s="24"/>
      <c r="K30" s="24"/>
      <c r="L30" s="24" t="s">
        <v>38</v>
      </c>
      <c r="M30" s="24" t="s">
        <v>38</v>
      </c>
      <c r="N30" s="24" t="s">
        <v>38</v>
      </c>
      <c r="O30" s="25">
        <v>4</v>
      </c>
      <c r="P30" s="26">
        <v>0.33333333333333331</v>
      </c>
      <c r="Q30" s="25">
        <v>4</v>
      </c>
      <c r="R30" s="26">
        <v>0.375</v>
      </c>
      <c r="S30" s="25">
        <v>4</v>
      </c>
      <c r="T30" s="26">
        <v>0.70833333333333337</v>
      </c>
      <c r="U30" s="25">
        <v>4</v>
      </c>
      <c r="V30" s="26">
        <v>0.79166666666666663</v>
      </c>
      <c r="W30" s="47"/>
      <c r="X30" s="39"/>
      <c r="Y30" s="37"/>
      <c r="Z30" s="38"/>
      <c r="AA30" s="37"/>
      <c r="AB30" s="38"/>
      <c r="AC30" s="39"/>
      <c r="AD30" s="37"/>
      <c r="AE30" s="40"/>
      <c r="AF30" s="40"/>
      <c r="AG30" s="32">
        <f t="shared" si="0"/>
        <v>1</v>
      </c>
      <c r="AH30" s="33">
        <f t="shared" si="1"/>
        <v>0</v>
      </c>
      <c r="AI30" s="34">
        <f>IFERROR(IF(AG30=0,"",VLOOKUP($D30,Суточные!$A$2:$C$13,3,0)),"")</f>
        <v>1700</v>
      </c>
      <c r="AJ30" s="35">
        <f t="shared" si="2"/>
        <v>0</v>
      </c>
    </row>
    <row r="31" spans="1:36" ht="30">
      <c r="A31" s="15"/>
      <c r="B31" s="44" t="s">
        <v>65</v>
      </c>
      <c r="C31" s="17" t="str">
        <f>IFERROR(VLOOKUP(B31,Инфо!$A$2:$E$89,4,0),"")</f>
        <v>Волжский</v>
      </c>
      <c r="D31" s="18" t="str">
        <f>IFERROR(VLOOKUP($B31,Инфо!$A$3:$E$91,5,0),"")</f>
        <v>Медицинский представитель ОТС</v>
      </c>
      <c r="E31" s="19" t="str">
        <f>IFERROR(IF(B31=0,"",IF(O31=U31,CONCATENATE(O31," ",VLOOKUP($A$1,Инфо!$K:$M,3,0)),CONCATENATE(O31,"-",U31," ",VLOOKUP($A$1,Инфо!$K:$M,3,0)))),"")</f>
        <v>11 декабря</v>
      </c>
      <c r="F31" s="20" t="s">
        <v>35</v>
      </c>
      <c r="G31" s="20" t="s">
        <v>67</v>
      </c>
      <c r="H31" s="21">
        <f>IF(F31="авто",VLOOKUP(G31,'Расстояние между городами'!C:D,2,0),"")</f>
        <v>177</v>
      </c>
      <c r="I31" s="42">
        <v>14</v>
      </c>
      <c r="J31" s="24"/>
      <c r="K31" s="24"/>
      <c r="L31" s="24" t="s">
        <v>38</v>
      </c>
      <c r="M31" s="24" t="s">
        <v>38</v>
      </c>
      <c r="N31" s="24" t="s">
        <v>38</v>
      </c>
      <c r="O31" s="25">
        <v>11</v>
      </c>
      <c r="P31" s="26">
        <v>0.33333333333333331</v>
      </c>
      <c r="Q31" s="25">
        <v>11</v>
      </c>
      <c r="R31" s="26">
        <v>0.375</v>
      </c>
      <c r="S31" s="25">
        <v>11</v>
      </c>
      <c r="T31" s="26">
        <v>0.70833333333333337</v>
      </c>
      <c r="U31" s="25">
        <v>11</v>
      </c>
      <c r="V31" s="26">
        <v>0.79166666666666663</v>
      </c>
      <c r="W31" s="41"/>
      <c r="X31" s="39"/>
      <c r="Y31" s="37"/>
      <c r="Z31" s="38"/>
      <c r="AA31" s="37"/>
      <c r="AB31" s="38"/>
      <c r="AC31" s="39"/>
      <c r="AD31" s="37"/>
      <c r="AE31" s="40"/>
      <c r="AF31" s="40"/>
      <c r="AG31" s="32">
        <f t="shared" si="0"/>
        <v>1</v>
      </c>
      <c r="AH31" s="33">
        <f t="shared" si="1"/>
        <v>0</v>
      </c>
      <c r="AI31" s="34">
        <f>IFERROR(IF(AG31=0,"",VLOOKUP($D31,Суточные!$A$2:$C$13,3,0)),"")</f>
        <v>1700</v>
      </c>
      <c r="AJ31" s="35">
        <f t="shared" si="2"/>
        <v>0</v>
      </c>
    </row>
    <row r="32" spans="1:36" ht="30">
      <c r="A32" s="15"/>
      <c r="B32" s="44" t="s">
        <v>65</v>
      </c>
      <c r="C32" s="17" t="str">
        <f>IFERROR(VLOOKUP(B32,Инфо!$A$2:$E$89,4,0),"")</f>
        <v>Волжский</v>
      </c>
      <c r="D32" s="18" t="str">
        <f>IFERROR(VLOOKUP($B32,Инфо!$A$3:$E$91,5,0),"")</f>
        <v>Медицинский представитель ОТС</v>
      </c>
      <c r="E32" s="19" t="str">
        <f>IFERROR(IF(B32=0,"",IF(O32=U32,CONCATENATE(O32," ",VLOOKUP($A$1,Инфо!$K:$M,3,0)),CONCATENATE(O32,"-",U32," ",VLOOKUP($A$1,Инфо!$K:$M,3,0)))),"")</f>
        <v>18 декабря</v>
      </c>
      <c r="F32" s="20" t="s">
        <v>35</v>
      </c>
      <c r="G32" s="20" t="s">
        <v>66</v>
      </c>
      <c r="H32" s="21">
        <f>IF(F32="авто",VLOOKUP(G32,'Расстояние между городами'!C:D,2,0),"")</f>
        <v>178</v>
      </c>
      <c r="I32" s="42">
        <v>14</v>
      </c>
      <c r="J32" s="24"/>
      <c r="K32" s="24"/>
      <c r="L32" s="24" t="s">
        <v>38</v>
      </c>
      <c r="M32" s="24" t="s">
        <v>38</v>
      </c>
      <c r="N32" s="24" t="s">
        <v>38</v>
      </c>
      <c r="O32" s="25">
        <v>18</v>
      </c>
      <c r="P32" s="26">
        <v>0.33333333333333331</v>
      </c>
      <c r="Q32" s="25">
        <v>18</v>
      </c>
      <c r="R32" s="26">
        <v>0.375</v>
      </c>
      <c r="S32" s="25">
        <v>18</v>
      </c>
      <c r="T32" s="26">
        <v>0.70833333333333337</v>
      </c>
      <c r="U32" s="25">
        <v>18</v>
      </c>
      <c r="V32" s="26">
        <v>0.79166666666666663</v>
      </c>
      <c r="W32" s="41"/>
      <c r="X32" s="39"/>
      <c r="Y32" s="37"/>
      <c r="Z32" s="38"/>
      <c r="AA32" s="37"/>
      <c r="AB32" s="38"/>
      <c r="AC32" s="39"/>
      <c r="AD32" s="37"/>
      <c r="AE32" s="40"/>
      <c r="AF32" s="40"/>
      <c r="AG32" s="32">
        <f t="shared" si="0"/>
        <v>1</v>
      </c>
      <c r="AH32" s="33">
        <f t="shared" si="1"/>
        <v>0</v>
      </c>
      <c r="AI32" s="34">
        <f>IFERROR(IF(AG32=0,"",VLOOKUP($D32,Суточные!$A$2:$C$13,3,0)),"")</f>
        <v>1700</v>
      </c>
      <c r="AJ32" s="35">
        <f t="shared" si="2"/>
        <v>0</v>
      </c>
    </row>
    <row r="33" spans="1:36" ht="30">
      <c r="A33" s="15"/>
      <c r="B33" s="44" t="s">
        <v>65</v>
      </c>
      <c r="C33" s="17" t="str">
        <f>IFERROR(VLOOKUP(B33,Инфо!$A$2:$E$89,4,0),"")</f>
        <v>Волжский</v>
      </c>
      <c r="D33" s="18" t="str">
        <f>IFERROR(VLOOKUP($B33,Инфо!$A$3:$E$91,5,0),"")</f>
        <v>Медицинский представитель ОТС</v>
      </c>
      <c r="E33" s="19" t="str">
        <f>IFERROR(IF(B33=0,"",IF(O33=U33,CONCATENATE(O33," ",VLOOKUP($A$1,Инфо!$K:$M,3,0)),CONCATENATE(O33,"-",U33," ",VLOOKUP($A$1,Инфо!$K:$M,3,0)))),"")</f>
        <v>24 декабря</v>
      </c>
      <c r="F33" s="20" t="s">
        <v>35</v>
      </c>
      <c r="G33" s="20" t="s">
        <v>67</v>
      </c>
      <c r="H33" s="21">
        <f>IF(F33="авто",VLOOKUP(G33,'Расстояние между городами'!C:D,2,0),"")</f>
        <v>177</v>
      </c>
      <c r="I33" s="42">
        <v>14</v>
      </c>
      <c r="J33" s="24"/>
      <c r="K33" s="24"/>
      <c r="L33" s="24" t="s">
        <v>38</v>
      </c>
      <c r="M33" s="24" t="s">
        <v>38</v>
      </c>
      <c r="N33" s="24" t="s">
        <v>38</v>
      </c>
      <c r="O33" s="25">
        <v>24</v>
      </c>
      <c r="P33" s="26">
        <v>0.33333333333333331</v>
      </c>
      <c r="Q33" s="25">
        <v>24</v>
      </c>
      <c r="R33" s="26">
        <v>0.375</v>
      </c>
      <c r="S33" s="25">
        <v>24</v>
      </c>
      <c r="T33" s="26">
        <v>0.70833333333333337</v>
      </c>
      <c r="U33" s="25">
        <v>24</v>
      </c>
      <c r="V33" s="26">
        <v>0.79166666666666663</v>
      </c>
      <c r="W33" s="41"/>
      <c r="X33" s="39"/>
      <c r="Y33" s="37"/>
      <c r="Z33" s="37"/>
      <c r="AA33" s="37"/>
      <c r="AB33" s="37"/>
      <c r="AC33" s="39"/>
      <c r="AD33" s="37"/>
      <c r="AE33" s="40"/>
      <c r="AF33" s="40"/>
      <c r="AG33" s="32">
        <f t="shared" si="0"/>
        <v>1</v>
      </c>
      <c r="AH33" s="33">
        <f t="shared" si="1"/>
        <v>0</v>
      </c>
      <c r="AI33" s="34">
        <f>IFERROR(IF(AG33=0,"",VLOOKUP($D33,Суточные!$A$2:$C$13,3,0)),"")</f>
        <v>1700</v>
      </c>
      <c r="AJ33" s="35">
        <f t="shared" si="2"/>
        <v>0</v>
      </c>
    </row>
    <row r="34" spans="1:36" ht="72">
      <c r="A34" s="15"/>
      <c r="B34" s="44" t="s">
        <v>68</v>
      </c>
      <c r="C34" s="17" t="str">
        <f>IFERROR(VLOOKUP(B34,Инфо!$A$2:$E$89,4,0),"")</f>
        <v>Волжский</v>
      </c>
      <c r="D34" s="18" t="str">
        <f>IFERROR(VLOOKUP($B34,Инфо!$A$3:$E$91,5,0),"")</f>
        <v>Медицинский представитель ОТС</v>
      </c>
      <c r="E34" s="19" t="str">
        <f>IFERROR(IF(B34=0,"",IF(O34=U34,CONCATENATE(O34," ",VLOOKUP($A$1,Инфо!$K:$M,3,0)),CONCATENATE(O34,"-",U34," ",VLOOKUP($A$1,Инфо!$K:$M,3,0)))),"")</f>
        <v>11 декабря</v>
      </c>
      <c r="F34" s="20" t="s">
        <v>35</v>
      </c>
      <c r="G34" s="20" t="s">
        <v>69</v>
      </c>
      <c r="H34" s="21">
        <f>IF(F34="авто",VLOOKUP(G34,'Расстояние между городами'!C:D,2,0),"")</f>
        <v>194</v>
      </c>
      <c r="I34" s="42">
        <v>12</v>
      </c>
      <c r="J34" s="24"/>
      <c r="K34" s="24"/>
      <c r="L34" s="24" t="s">
        <v>38</v>
      </c>
      <c r="M34" s="24" t="s">
        <v>38</v>
      </c>
      <c r="N34" s="24" t="s">
        <v>38</v>
      </c>
      <c r="O34" s="25">
        <v>11</v>
      </c>
      <c r="P34" s="26">
        <v>0.33333333333333331</v>
      </c>
      <c r="Q34" s="25">
        <v>11</v>
      </c>
      <c r="R34" s="26">
        <v>0.375</v>
      </c>
      <c r="S34" s="25">
        <v>11</v>
      </c>
      <c r="T34" s="26">
        <v>0.70833333333333337</v>
      </c>
      <c r="U34" s="25">
        <v>11</v>
      </c>
      <c r="V34" s="26">
        <v>0.75</v>
      </c>
      <c r="W34" s="41"/>
      <c r="X34" s="39"/>
      <c r="Y34" s="37"/>
      <c r="Z34" s="38"/>
      <c r="AA34" s="37"/>
      <c r="AB34" s="38"/>
      <c r="AC34" s="39"/>
      <c r="AD34" s="37"/>
      <c r="AE34" s="40"/>
      <c r="AF34" s="40"/>
      <c r="AG34" s="32">
        <f t="shared" si="0"/>
        <v>1</v>
      </c>
      <c r="AH34" s="33">
        <f t="shared" si="1"/>
        <v>0</v>
      </c>
      <c r="AI34" s="34">
        <f>IFERROR(IF(AG34=0,"",VLOOKUP($D34,Суточные!$A$2:$C$13,3,0)),"")</f>
        <v>1700</v>
      </c>
      <c r="AJ34" s="35">
        <f t="shared" si="2"/>
        <v>0</v>
      </c>
    </row>
    <row r="35" spans="1:36" ht="72">
      <c r="A35" s="15"/>
      <c r="B35" s="44" t="s">
        <v>68</v>
      </c>
      <c r="C35" s="17" t="str">
        <f>IFERROR(VLOOKUP(B35,Инфо!$A$2:$E$89,4,0),"")</f>
        <v>Волжский</v>
      </c>
      <c r="D35" s="18" t="str">
        <f>IFERROR(VLOOKUP($B35,Инфо!$A$3:$E$91,5,0),"")</f>
        <v>Медицинский представитель ОТС</v>
      </c>
      <c r="E35" s="19" t="str">
        <f>IFERROR(IF(B35=0,"",IF(O35=U35,CONCATENATE(O35," ",VLOOKUP($A$1,Инфо!$K:$M,3,0)),CONCATENATE(O35,"-",U35," ",VLOOKUP($A$1,Инфо!$K:$M,3,0)))),"")</f>
        <v>25 декабря</v>
      </c>
      <c r="F35" s="20" t="s">
        <v>35</v>
      </c>
      <c r="G35" s="20" t="s">
        <v>69</v>
      </c>
      <c r="H35" s="21">
        <f>IF(F35="авто",VLOOKUP(G35,'Расстояние между городами'!C:D,2,0),"")</f>
        <v>194</v>
      </c>
      <c r="I35" s="42">
        <v>12</v>
      </c>
      <c r="J35" s="24"/>
      <c r="K35" s="24"/>
      <c r="L35" s="24" t="s">
        <v>38</v>
      </c>
      <c r="M35" s="24" t="s">
        <v>38</v>
      </c>
      <c r="N35" s="24" t="s">
        <v>38</v>
      </c>
      <c r="O35" s="25">
        <v>25</v>
      </c>
      <c r="P35" s="26">
        <v>0.33333333333333331</v>
      </c>
      <c r="Q35" s="25">
        <v>25</v>
      </c>
      <c r="R35" s="26">
        <v>0.375</v>
      </c>
      <c r="S35" s="25">
        <v>25</v>
      </c>
      <c r="T35" s="26">
        <v>0.70833333333333337</v>
      </c>
      <c r="U35" s="25">
        <v>25</v>
      </c>
      <c r="V35" s="26">
        <v>0.75</v>
      </c>
      <c r="W35" s="48"/>
      <c r="X35" s="39"/>
      <c r="Y35" s="37"/>
      <c r="Z35" s="37"/>
      <c r="AA35" s="37"/>
      <c r="AB35" s="38"/>
      <c r="AC35" s="39"/>
      <c r="AD35" s="37"/>
      <c r="AE35" s="40"/>
      <c r="AF35" s="40"/>
      <c r="AG35" s="32">
        <f t="shared" si="0"/>
        <v>1</v>
      </c>
      <c r="AH35" s="33">
        <f t="shared" si="1"/>
        <v>0</v>
      </c>
      <c r="AI35" s="34">
        <f>IFERROR(IF(AG35=0,"",VLOOKUP($D35,Суточные!$A$2:$C$13,3,0)),"")</f>
        <v>1700</v>
      </c>
      <c r="AJ35" s="35">
        <f t="shared" si="2"/>
        <v>0</v>
      </c>
    </row>
    <row r="36" spans="1:36" ht="37.5" customHeight="1">
      <c r="A36" s="15"/>
      <c r="B36" s="44" t="s">
        <v>70</v>
      </c>
      <c r="C36" s="17" t="str">
        <f>IFERROR(VLOOKUP(#REF!,Инфо!$A$2:$E$89,4,0),"")</f>
        <v/>
      </c>
      <c r="D36" s="18" t="str">
        <f>IFERROR(VLOOKUP(#REF!,Инфо!$A$3:$E$91,5,0),"")</f>
        <v/>
      </c>
      <c r="E36" s="49"/>
      <c r="F36" s="20" t="s">
        <v>35</v>
      </c>
      <c r="G36" s="20" t="s">
        <v>71</v>
      </c>
      <c r="H36" s="21">
        <f>IF(F36="авто",VLOOKUP(G36,'Расстояние между городами'!C:D,2,0),"")</f>
        <v>92</v>
      </c>
      <c r="I36" s="42">
        <v>14</v>
      </c>
      <c r="J36" s="24"/>
      <c r="K36" s="24"/>
      <c r="L36" s="24" t="s">
        <v>38</v>
      </c>
      <c r="M36" s="24" t="s">
        <v>38</v>
      </c>
      <c r="N36" s="24" t="s">
        <v>38</v>
      </c>
      <c r="O36" s="25">
        <v>2</v>
      </c>
      <c r="P36" s="26">
        <v>0.33333333333333331</v>
      </c>
      <c r="Q36" s="25">
        <v>2</v>
      </c>
      <c r="R36" s="26">
        <v>0.375</v>
      </c>
      <c r="S36" s="25">
        <v>2</v>
      </c>
      <c r="T36" s="26">
        <v>0.70833333333333337</v>
      </c>
      <c r="U36" s="25">
        <v>2</v>
      </c>
      <c r="V36" s="26">
        <v>0.75</v>
      </c>
      <c r="W36" s="50"/>
      <c r="X36" s="39"/>
      <c r="Y36" s="37"/>
      <c r="Z36" s="38"/>
      <c r="AA36" s="37"/>
      <c r="AB36" s="38"/>
      <c r="AC36" s="39"/>
      <c r="AD36" s="37"/>
      <c r="AE36" s="40"/>
      <c r="AF36" s="40"/>
      <c r="AG36" s="32">
        <f t="shared" si="0"/>
        <v>1</v>
      </c>
      <c r="AH36" s="33">
        <f t="shared" si="1"/>
        <v>0</v>
      </c>
      <c r="AI36" s="34" t="str">
        <f>IFERROR(IF(AG36=0,"",VLOOKUP($D36,Суточные!$A$2:$C$13,3,0)),"")</f>
        <v/>
      </c>
      <c r="AJ36" s="35">
        <f t="shared" si="2"/>
        <v>0</v>
      </c>
    </row>
    <row r="37" spans="1:36" ht="30">
      <c r="A37" s="15"/>
      <c r="B37" s="44" t="s">
        <v>70</v>
      </c>
      <c r="C37" s="17" t="str">
        <f>IFERROR(VLOOKUP(B36,Инфо!$A$2:$E$89,4,0),"")</f>
        <v>Сибирский</v>
      </c>
      <c r="D37" s="18" t="str">
        <f>IFERROR(VLOOKUP($B36,Инфо!$A$3:$E$91,5,0),"")</f>
        <v>Медицинский представитель ОТС</v>
      </c>
      <c r="E37" s="19" t="str">
        <f>IFERROR(IF(B36=0,"",IF(O37=U37,CONCATENATE(O37," ",VLOOKUP($A$1,Инфо!$K:$M,3,0)),CONCATENATE(O37,"-",U37," ",VLOOKUP($A$1,Инфо!$K:$M,3,0)))),"")</f>
        <v>5 декабря</v>
      </c>
      <c r="F37" s="20" t="s">
        <v>35</v>
      </c>
      <c r="G37" s="20" t="s">
        <v>72</v>
      </c>
      <c r="H37" s="21">
        <f>IF(F37="авто",VLOOKUP(G37,'Расстояние между городами'!C:D,2,0),"")</f>
        <v>157</v>
      </c>
      <c r="I37" s="42">
        <v>12</v>
      </c>
      <c r="J37" s="24"/>
      <c r="K37" s="24"/>
      <c r="L37" s="24" t="s">
        <v>38</v>
      </c>
      <c r="M37" s="24" t="s">
        <v>38</v>
      </c>
      <c r="N37" s="24" t="s">
        <v>38</v>
      </c>
      <c r="O37" s="25">
        <v>5</v>
      </c>
      <c r="P37" s="26">
        <v>0.33333333333333331</v>
      </c>
      <c r="Q37" s="25">
        <v>5</v>
      </c>
      <c r="R37" s="26">
        <v>0.375</v>
      </c>
      <c r="S37" s="25">
        <v>5</v>
      </c>
      <c r="T37" s="26">
        <v>0.70833333333333337</v>
      </c>
      <c r="U37" s="25">
        <v>5</v>
      </c>
      <c r="V37" s="26">
        <v>0.75</v>
      </c>
      <c r="W37" s="43"/>
      <c r="X37" s="39"/>
      <c r="Y37" s="37"/>
      <c r="Z37" s="38"/>
      <c r="AA37" s="37"/>
      <c r="AB37" s="38"/>
      <c r="AC37" s="39"/>
      <c r="AD37" s="37"/>
      <c r="AE37" s="40"/>
      <c r="AF37" s="40"/>
      <c r="AG37" s="32">
        <f t="shared" si="0"/>
        <v>1</v>
      </c>
      <c r="AH37" s="33">
        <f t="shared" si="1"/>
        <v>0</v>
      </c>
      <c r="AI37" s="34">
        <f>IFERROR(IF(AG37=0,"",VLOOKUP($D37,Суточные!$A$2:$C$13,3,0)),"")</f>
        <v>1700</v>
      </c>
      <c r="AJ37" s="35">
        <f t="shared" si="2"/>
        <v>0</v>
      </c>
    </row>
    <row r="38" spans="1:36" ht="30">
      <c r="A38" s="15"/>
      <c r="B38" s="44" t="s">
        <v>70</v>
      </c>
      <c r="C38" s="17" t="str">
        <f>IFERROR(VLOOKUP(B38,Инфо!$A$2:$E$89,4,0),"")</f>
        <v>Сибирский</v>
      </c>
      <c r="D38" s="18" t="str">
        <f>IFERROR(VLOOKUP($B38,Инфо!$A$3:$E$91,5,0),"")</f>
        <v>Медицинский представитель ОТС</v>
      </c>
      <c r="E38" s="19" t="str">
        <f>IFERROR(IF(B38=0,"",IF(O38=U38,CONCATENATE(O38," ",VLOOKUP($A$1,Инфо!$K:$M,3,0)),CONCATENATE(O38,"-",U38," ",VLOOKUP($A$1,Инфо!$K:$M,3,0)))),"")</f>
        <v>8 декабря</v>
      </c>
      <c r="F38" s="20" t="s">
        <v>35</v>
      </c>
      <c r="G38" s="20" t="s">
        <v>73</v>
      </c>
      <c r="H38" s="21">
        <f>IF(F38="авто",VLOOKUP(G38,'Расстояние между городами'!C:D,2,0),"")</f>
        <v>120</v>
      </c>
      <c r="I38" s="42">
        <v>12</v>
      </c>
      <c r="J38" s="24"/>
      <c r="K38" s="24"/>
      <c r="L38" s="24" t="s">
        <v>38</v>
      </c>
      <c r="M38" s="24" t="s">
        <v>38</v>
      </c>
      <c r="N38" s="24" t="s">
        <v>38</v>
      </c>
      <c r="O38" s="25">
        <v>8</v>
      </c>
      <c r="P38" s="26">
        <v>0.33333333333333331</v>
      </c>
      <c r="Q38" s="25">
        <v>8</v>
      </c>
      <c r="R38" s="26">
        <v>0.375</v>
      </c>
      <c r="S38" s="25">
        <v>8</v>
      </c>
      <c r="T38" s="26">
        <v>0.70833333333333337</v>
      </c>
      <c r="U38" s="25">
        <v>8</v>
      </c>
      <c r="V38" s="26">
        <v>0.75</v>
      </c>
      <c r="W38" s="50"/>
      <c r="X38" s="39"/>
      <c r="Y38" s="37"/>
      <c r="Z38" s="38"/>
      <c r="AA38" s="37"/>
      <c r="AB38" s="38"/>
      <c r="AC38" s="39"/>
      <c r="AD38" s="37"/>
      <c r="AE38" s="40"/>
      <c r="AF38" s="40"/>
      <c r="AG38" s="32">
        <f t="shared" si="0"/>
        <v>1</v>
      </c>
      <c r="AH38" s="33">
        <f t="shared" si="1"/>
        <v>0</v>
      </c>
      <c r="AI38" s="34">
        <f>IFERROR(IF(AG38=0,"",VLOOKUP($D38,Суточные!$A$2:$C$13,3,0)),"")</f>
        <v>1700</v>
      </c>
      <c r="AJ38" s="35">
        <f t="shared" si="2"/>
        <v>0</v>
      </c>
    </row>
    <row r="39" spans="1:36" ht="30">
      <c r="A39" s="15"/>
      <c r="B39" s="44" t="s">
        <v>70</v>
      </c>
      <c r="C39" s="17" t="str">
        <f>IFERROR(VLOOKUP(B39,Инфо!$A$2:$E$89,4,0),"")</f>
        <v>Сибирский</v>
      </c>
      <c r="D39" s="18" t="str">
        <f>IFERROR(VLOOKUP($B39,Инфо!$A$3:$E$91,5,0),"")</f>
        <v>Медицинский представитель ОТС</v>
      </c>
      <c r="E39" s="19" t="str">
        <f>IFERROR(IF(B39=0,"",IF(O39=U39,CONCATENATE(O39," ",VLOOKUP($A$1,Инфо!$K:$M,3,0)),CONCATENATE(O39,"-",U39," ",VLOOKUP($A$1,Инфо!$K:$M,3,0)))),"")</f>
        <v>9 декабря</v>
      </c>
      <c r="F39" s="20" t="s">
        <v>35</v>
      </c>
      <c r="G39" s="20" t="s">
        <v>74</v>
      </c>
      <c r="H39" s="21">
        <f>IF(F39="авто",VLOOKUP(G39,'Расстояние между городами'!C:D,2,0),"")</f>
        <v>118</v>
      </c>
      <c r="I39" s="42">
        <v>16</v>
      </c>
      <c r="J39" s="24"/>
      <c r="K39" s="24"/>
      <c r="L39" s="24" t="s">
        <v>38</v>
      </c>
      <c r="M39" s="24" t="s">
        <v>38</v>
      </c>
      <c r="N39" s="24" t="s">
        <v>38</v>
      </c>
      <c r="O39" s="25">
        <v>9</v>
      </c>
      <c r="P39" s="26">
        <v>0.33333333333333331</v>
      </c>
      <c r="Q39" s="25">
        <v>9</v>
      </c>
      <c r="R39" s="26">
        <v>0.375</v>
      </c>
      <c r="S39" s="25">
        <v>9</v>
      </c>
      <c r="T39" s="26">
        <v>0.70833333333333337</v>
      </c>
      <c r="U39" s="25">
        <v>9</v>
      </c>
      <c r="V39" s="26">
        <v>0.75</v>
      </c>
      <c r="W39" s="36"/>
      <c r="X39" s="39"/>
      <c r="Y39" s="37"/>
      <c r="Z39" s="37"/>
      <c r="AA39" s="37"/>
      <c r="AB39" s="38"/>
      <c r="AC39" s="39"/>
      <c r="AD39" s="37"/>
      <c r="AE39" s="40"/>
      <c r="AF39" s="40"/>
      <c r="AG39" s="32">
        <f t="shared" si="0"/>
        <v>1</v>
      </c>
      <c r="AH39" s="33">
        <f t="shared" si="1"/>
        <v>0</v>
      </c>
      <c r="AI39" s="34">
        <f>IFERROR(IF(AG39=0,"",VLOOKUP($D39,Суточные!$A$2:$C$13,3,0)),"")</f>
        <v>1700</v>
      </c>
      <c r="AJ39" s="35">
        <f t="shared" si="2"/>
        <v>0</v>
      </c>
    </row>
    <row r="40" spans="1:36" ht="30">
      <c r="A40" s="15"/>
      <c r="B40" s="44" t="s">
        <v>70</v>
      </c>
      <c r="C40" s="17" t="str">
        <f>IFERROR(VLOOKUP(B40,Инфо!$A$2:$E$89,4,0),"")</f>
        <v>Сибирский</v>
      </c>
      <c r="D40" s="18" t="str">
        <f>IFERROR(VLOOKUP($B40,Инфо!$A$3:$E$91,5,0),"")</f>
        <v>Медицинский представитель ОТС</v>
      </c>
      <c r="E40" s="19" t="str">
        <f>IFERROR(IF(B40=0,"",IF(O40=U40,CONCATENATE(O40," ",VLOOKUP($A$1,Инфо!$K:$M,3,0)),CONCATENATE(O40,"-",U40," ",VLOOKUP($A$1,Инфо!$K:$M,3,0)))),"")</f>
        <v>12 декабря</v>
      </c>
      <c r="F40" s="20" t="s">
        <v>35</v>
      </c>
      <c r="G40" s="20" t="s">
        <v>75</v>
      </c>
      <c r="H40" s="21">
        <f>IF(F40="авто",VLOOKUP(G40,'Расстояние между городами'!C:D,2,0),"")</f>
        <v>157</v>
      </c>
      <c r="I40" s="42">
        <v>12</v>
      </c>
      <c r="J40" s="24"/>
      <c r="K40" s="24"/>
      <c r="L40" s="24" t="s">
        <v>38</v>
      </c>
      <c r="M40" s="24" t="s">
        <v>38</v>
      </c>
      <c r="N40" s="24" t="s">
        <v>38</v>
      </c>
      <c r="O40" s="25">
        <v>12</v>
      </c>
      <c r="P40" s="26">
        <v>0.33333333333333331</v>
      </c>
      <c r="Q40" s="25">
        <v>12</v>
      </c>
      <c r="R40" s="26">
        <v>0.375</v>
      </c>
      <c r="S40" s="25">
        <v>12</v>
      </c>
      <c r="T40" s="26">
        <v>0.70833333333333337</v>
      </c>
      <c r="U40" s="25">
        <v>12</v>
      </c>
      <c r="V40" s="26">
        <v>0.75</v>
      </c>
      <c r="W40" s="50"/>
      <c r="X40" s="39"/>
      <c r="Y40" s="37"/>
      <c r="Z40" s="38"/>
      <c r="AA40" s="37"/>
      <c r="AB40" s="38"/>
      <c r="AC40" s="39"/>
      <c r="AD40" s="37"/>
      <c r="AE40" s="40"/>
      <c r="AF40" s="40"/>
      <c r="AG40" s="32">
        <f t="shared" si="0"/>
        <v>1</v>
      </c>
      <c r="AH40" s="33">
        <f t="shared" si="1"/>
        <v>0</v>
      </c>
      <c r="AI40" s="34">
        <f>IFERROR(IF(AG40=0,"",VLOOKUP($D40,Суточные!$A$2:$C$13,3,0)),"")</f>
        <v>1700</v>
      </c>
      <c r="AJ40" s="35">
        <f t="shared" si="2"/>
        <v>0</v>
      </c>
    </row>
    <row r="41" spans="1:36" ht="30">
      <c r="A41" s="15"/>
      <c r="B41" s="44" t="s">
        <v>70</v>
      </c>
      <c r="C41" s="17" t="str">
        <f>IFERROR(VLOOKUP(B41,Инфо!$A$2:$E$89,4,0),"")</f>
        <v>Сибирский</v>
      </c>
      <c r="D41" s="18" t="str">
        <f>IFERROR(VLOOKUP($B41,Инфо!$A$3:$E$91,5,0),"")</f>
        <v>Медицинский представитель ОТС</v>
      </c>
      <c r="E41" s="19" t="str">
        <f>IFERROR(IF(B41=0,"",IF(O41=U41,CONCATENATE(O41," ",VLOOKUP($A$1,Инфо!$K:$M,3,0)),CONCATENATE(O41,"-",U41," ",VLOOKUP($A$1,Инфо!$K:$M,3,0)))),"")</f>
        <v>15 декабря</v>
      </c>
      <c r="F41" s="20" t="s">
        <v>35</v>
      </c>
      <c r="G41" s="20" t="s">
        <v>71</v>
      </c>
      <c r="H41" s="21">
        <f>IF(F41="авто",VLOOKUP(G41,'Расстояние между городами'!C:D,2,0),"")</f>
        <v>92</v>
      </c>
      <c r="I41" s="42">
        <v>14</v>
      </c>
      <c r="J41" s="24"/>
      <c r="K41" s="24"/>
      <c r="L41" s="24" t="s">
        <v>38</v>
      </c>
      <c r="M41" s="24" t="s">
        <v>38</v>
      </c>
      <c r="N41" s="24" t="s">
        <v>38</v>
      </c>
      <c r="O41" s="25">
        <v>15</v>
      </c>
      <c r="P41" s="26">
        <v>0.33333333333333331</v>
      </c>
      <c r="Q41" s="25">
        <v>15</v>
      </c>
      <c r="R41" s="26">
        <v>0.375</v>
      </c>
      <c r="S41" s="25">
        <v>15</v>
      </c>
      <c r="T41" s="26">
        <v>0.70833333333333337</v>
      </c>
      <c r="U41" s="25">
        <v>15</v>
      </c>
      <c r="V41" s="26">
        <v>0.75</v>
      </c>
      <c r="W41" s="41"/>
      <c r="X41" s="39"/>
      <c r="Y41" s="37"/>
      <c r="Z41" s="37"/>
      <c r="AA41" s="37"/>
      <c r="AB41" s="38"/>
      <c r="AC41" s="39"/>
      <c r="AD41" s="37"/>
      <c r="AE41" s="40"/>
      <c r="AF41" s="40"/>
      <c r="AG41" s="32">
        <f t="shared" si="0"/>
        <v>1</v>
      </c>
      <c r="AH41" s="33">
        <f t="shared" si="1"/>
        <v>0</v>
      </c>
      <c r="AI41" s="34">
        <f>IFERROR(IF(AG41=0,"",VLOOKUP($D41,Суточные!$A$2:$C$13,3,0)),"")</f>
        <v>1700</v>
      </c>
      <c r="AJ41" s="35">
        <f t="shared" si="2"/>
        <v>0</v>
      </c>
    </row>
    <row r="42" spans="1:36" ht="30">
      <c r="A42" s="15"/>
      <c r="B42" s="44" t="s">
        <v>70</v>
      </c>
      <c r="C42" s="17" t="str">
        <f>IFERROR(VLOOKUP(B42,Инфо!$A$2:$E$89,4,0),"")</f>
        <v>Сибирский</v>
      </c>
      <c r="D42" s="18" t="str">
        <f>IFERROR(VLOOKUP($B42,Инфо!$A$3:$E$91,5,0),"")</f>
        <v>Медицинский представитель ОТС</v>
      </c>
      <c r="E42" s="19" t="str">
        <f>IFERROR(IF(B42=0,"",IF(O42=U42,CONCATENATE(O42," ",VLOOKUP($A$1,Инфо!$K:$M,3,0)),CONCATENATE(O42,"-",U42," ",VLOOKUP($A$1,Инфо!$K:$M,3,0)))),"")</f>
        <v>19 декабря</v>
      </c>
      <c r="F42" s="20" t="s">
        <v>35</v>
      </c>
      <c r="G42" s="20" t="s">
        <v>72</v>
      </c>
      <c r="H42" s="21">
        <f>IF(F42="авто",VLOOKUP(G42,'Расстояние между городами'!C:D,2,0),"")</f>
        <v>157</v>
      </c>
      <c r="I42" s="42">
        <v>12</v>
      </c>
      <c r="J42" s="24"/>
      <c r="K42" s="24"/>
      <c r="L42" s="24" t="s">
        <v>38</v>
      </c>
      <c r="M42" s="24" t="s">
        <v>38</v>
      </c>
      <c r="N42" s="24" t="s">
        <v>38</v>
      </c>
      <c r="O42" s="25">
        <v>19</v>
      </c>
      <c r="P42" s="26">
        <v>0.33333333333333331</v>
      </c>
      <c r="Q42" s="25">
        <v>19</v>
      </c>
      <c r="R42" s="26">
        <v>0.375</v>
      </c>
      <c r="S42" s="25">
        <v>19</v>
      </c>
      <c r="T42" s="26">
        <v>0.70833333333333337</v>
      </c>
      <c r="U42" s="25">
        <v>19</v>
      </c>
      <c r="V42" s="26">
        <v>0.75</v>
      </c>
      <c r="W42" s="50"/>
      <c r="X42" s="39"/>
      <c r="Y42" s="37"/>
      <c r="Z42" s="38"/>
      <c r="AA42" s="37"/>
      <c r="AB42" s="37"/>
      <c r="AC42" s="39"/>
      <c r="AD42" s="37"/>
      <c r="AE42" s="40"/>
      <c r="AF42" s="40"/>
      <c r="AG42" s="32">
        <f t="shared" si="0"/>
        <v>1</v>
      </c>
      <c r="AH42" s="33">
        <f t="shared" si="1"/>
        <v>0</v>
      </c>
      <c r="AI42" s="34">
        <f>IFERROR(IF(AG42=0,"",VLOOKUP($D42,Суточные!$A$2:$C$13,3,0)),"")</f>
        <v>1700</v>
      </c>
      <c r="AJ42" s="35">
        <f t="shared" si="2"/>
        <v>0</v>
      </c>
    </row>
    <row r="43" spans="1:36" ht="30">
      <c r="A43" s="15"/>
      <c r="B43" s="44" t="s">
        <v>70</v>
      </c>
      <c r="C43" s="17" t="str">
        <f>IFERROR(VLOOKUP(B43,Инфо!$A$2:$E$89,4,0),"")</f>
        <v>Сибирский</v>
      </c>
      <c r="D43" s="18" t="str">
        <f>IFERROR(VLOOKUP($B43,Инфо!$A$3:$E$91,5,0),"")</f>
        <v>Медицинский представитель ОТС</v>
      </c>
      <c r="E43" s="19" t="str">
        <f>IFERROR(IF(B43=0,"",IF(O43=U43,CONCATENATE(O43," ",VLOOKUP($A$1,Инфо!$K:$M,3,0)),CONCATENATE(O43,"-",U43," ",VLOOKUP($A$1,Инфо!$K:$M,3,0)))),"")</f>
        <v>22 декабря</v>
      </c>
      <c r="F43" s="20" t="s">
        <v>35</v>
      </c>
      <c r="G43" s="20" t="s">
        <v>74</v>
      </c>
      <c r="H43" s="21">
        <f>IF(F43="авто",VLOOKUP(G43,'Расстояние между городами'!C:D,2,0),"")</f>
        <v>118</v>
      </c>
      <c r="I43" s="42">
        <v>16</v>
      </c>
      <c r="J43" s="24"/>
      <c r="K43" s="24"/>
      <c r="L43" s="24" t="s">
        <v>38</v>
      </c>
      <c r="M43" s="24" t="s">
        <v>38</v>
      </c>
      <c r="N43" s="24" t="s">
        <v>38</v>
      </c>
      <c r="O43" s="25">
        <v>22</v>
      </c>
      <c r="P43" s="26">
        <v>0.33333333333333331</v>
      </c>
      <c r="Q43" s="25">
        <v>22</v>
      </c>
      <c r="R43" s="26">
        <v>0.375</v>
      </c>
      <c r="S43" s="25">
        <v>22</v>
      </c>
      <c r="T43" s="26">
        <v>0.70833333333333337</v>
      </c>
      <c r="U43" s="25">
        <v>22</v>
      </c>
      <c r="V43" s="26">
        <v>0.75</v>
      </c>
      <c r="W43" s="50"/>
      <c r="X43" s="39"/>
      <c r="Y43" s="37"/>
      <c r="Z43" s="38"/>
      <c r="AA43" s="37"/>
      <c r="AB43" s="38"/>
      <c r="AC43" s="39"/>
      <c r="AD43" s="37"/>
      <c r="AE43" s="40"/>
      <c r="AF43" s="40"/>
      <c r="AG43" s="32">
        <f t="shared" si="0"/>
        <v>1</v>
      </c>
      <c r="AH43" s="33">
        <f t="shared" si="1"/>
        <v>0</v>
      </c>
      <c r="AI43" s="34">
        <f>IFERROR(IF(AG43=0,"",VLOOKUP($D43,Суточные!$A$2:$C$13,3,0)),"")</f>
        <v>1700</v>
      </c>
      <c r="AJ43" s="35">
        <f t="shared" si="2"/>
        <v>0</v>
      </c>
    </row>
    <row r="44" spans="1:36" ht="30">
      <c r="A44" s="15"/>
      <c r="B44" s="44" t="s">
        <v>70</v>
      </c>
      <c r="C44" s="17" t="str">
        <f>IFERROR(VLOOKUP(B44,Инфо!$A$2:$E$89,4,0),"")</f>
        <v>Сибирский</v>
      </c>
      <c r="D44" s="18" t="str">
        <f>IFERROR(VLOOKUP($B44,Инфо!$A$3:$E$91,5,0),"")</f>
        <v>Медицинский представитель ОТС</v>
      </c>
      <c r="E44" s="19" t="str">
        <f>IFERROR(IF(B44=0,"",IF(O44=U44,CONCATENATE(O44," ",VLOOKUP($A$1,Инфо!$K:$M,3,0)),CONCATENATE(O44,"-",U44," ",VLOOKUP($A$1,Инфо!$K:$M,3,0)))),"")</f>
        <v>23 декабря</v>
      </c>
      <c r="F44" s="20" t="s">
        <v>35</v>
      </c>
      <c r="G44" s="20" t="s">
        <v>73</v>
      </c>
      <c r="H44" s="21">
        <f>IF(F44="авто",VLOOKUP(G44,'Расстояние между городами'!C:D,2,0),"")</f>
        <v>120</v>
      </c>
      <c r="I44" s="42">
        <v>12</v>
      </c>
      <c r="J44" s="24"/>
      <c r="K44" s="24"/>
      <c r="L44" s="24" t="s">
        <v>38</v>
      </c>
      <c r="M44" s="24" t="s">
        <v>38</v>
      </c>
      <c r="N44" s="24" t="s">
        <v>38</v>
      </c>
      <c r="O44" s="25">
        <v>23</v>
      </c>
      <c r="P44" s="26">
        <v>0.33333333333333331</v>
      </c>
      <c r="Q44" s="25">
        <v>23</v>
      </c>
      <c r="R44" s="26">
        <v>0.375</v>
      </c>
      <c r="S44" s="25">
        <v>23</v>
      </c>
      <c r="T44" s="26">
        <v>0.70833333333333337</v>
      </c>
      <c r="U44" s="25">
        <v>23</v>
      </c>
      <c r="V44" s="26">
        <v>0.75</v>
      </c>
      <c r="W44" s="36"/>
      <c r="X44" s="39"/>
      <c r="Y44" s="37"/>
      <c r="Z44" s="38"/>
      <c r="AA44" s="37"/>
      <c r="AB44" s="38"/>
      <c r="AC44" s="39"/>
      <c r="AD44" s="37"/>
      <c r="AE44" s="40"/>
      <c r="AF44" s="40"/>
      <c r="AG44" s="32">
        <f t="shared" si="0"/>
        <v>1</v>
      </c>
      <c r="AH44" s="33">
        <f t="shared" si="1"/>
        <v>0</v>
      </c>
      <c r="AI44" s="34">
        <f>IFERROR(IF(AG44=0,"",VLOOKUP($D44,Суточные!$A$2:$C$13,3,0)),"")</f>
        <v>1700</v>
      </c>
      <c r="AJ44" s="35">
        <f t="shared" si="2"/>
        <v>0</v>
      </c>
    </row>
    <row r="45" spans="1:36" ht="30">
      <c r="A45" s="15"/>
      <c r="B45" s="44" t="s">
        <v>70</v>
      </c>
      <c r="C45" s="17" t="str">
        <f>IFERROR(VLOOKUP(B45,Инфо!$A$2:$E$89,4,0),"")</f>
        <v>Сибирский</v>
      </c>
      <c r="D45" s="18" t="str">
        <f>IFERROR(VLOOKUP($B45,Инфо!$A$3:$E$91,5,0),"")</f>
        <v>Медицинский представитель ОТС</v>
      </c>
      <c r="E45" s="19" t="str">
        <f>IFERROR(IF(B45=0,"",IF(O45=U45,CONCATENATE(O45," ",VLOOKUP($A$1,Инфо!$K:$M,3,0)),CONCATENATE(O45,"-",U45," ",VLOOKUP($A$1,Инфо!$K:$M,3,0)))),"")</f>
        <v>26 декабря</v>
      </c>
      <c r="F45" s="20" t="s">
        <v>35</v>
      </c>
      <c r="G45" s="20" t="s">
        <v>75</v>
      </c>
      <c r="H45" s="21">
        <f>IF(F45="авто",VLOOKUP(G45,'Расстояние между городами'!C:D,2,0),"")</f>
        <v>157</v>
      </c>
      <c r="I45" s="42">
        <v>12</v>
      </c>
      <c r="J45" s="24"/>
      <c r="K45" s="24"/>
      <c r="L45" s="24" t="s">
        <v>38</v>
      </c>
      <c r="M45" s="24" t="s">
        <v>38</v>
      </c>
      <c r="N45" s="24" t="s">
        <v>38</v>
      </c>
      <c r="O45" s="25">
        <v>26</v>
      </c>
      <c r="P45" s="26">
        <v>0.33333333333333331</v>
      </c>
      <c r="Q45" s="25">
        <v>26</v>
      </c>
      <c r="R45" s="26">
        <v>0.375</v>
      </c>
      <c r="S45" s="25">
        <v>26</v>
      </c>
      <c r="T45" s="26">
        <v>0.70833333333333337</v>
      </c>
      <c r="U45" s="25">
        <v>26</v>
      </c>
      <c r="V45" s="26">
        <v>0.75</v>
      </c>
      <c r="W45" s="41"/>
      <c r="X45" s="39"/>
      <c r="Y45" s="37"/>
      <c r="Z45" s="38"/>
      <c r="AA45" s="37"/>
      <c r="AB45" s="38"/>
      <c r="AC45" s="39"/>
      <c r="AD45" s="37"/>
      <c r="AE45" s="40"/>
      <c r="AF45" s="40"/>
      <c r="AG45" s="32">
        <f t="shared" si="0"/>
        <v>1</v>
      </c>
      <c r="AH45" s="33">
        <f t="shared" si="1"/>
        <v>0</v>
      </c>
      <c r="AI45" s="34">
        <f>IFERROR(IF(AG45=0,"",VLOOKUP($D45,Суточные!$A$2:$C$13,3,0)),"")</f>
        <v>1700</v>
      </c>
      <c r="AJ45" s="35">
        <f t="shared" si="2"/>
        <v>0</v>
      </c>
    </row>
    <row r="46" spans="1:36" ht="30">
      <c r="A46" s="15"/>
      <c r="B46" s="44" t="s">
        <v>76</v>
      </c>
      <c r="C46" s="17" t="str">
        <f>IFERROR(VLOOKUP(B46,Инфо!$A$2:$E$89,4,0),"")</f>
        <v>Управление продаж</v>
      </c>
      <c r="D46" s="18" t="str">
        <f>IFERROR(VLOOKUP($B46,Инфо!$A$3:$E$91,5,0),"")</f>
        <v>Медицинский представитель ОТС</v>
      </c>
      <c r="E46" s="19" t="str">
        <f>IFERROR(IF(B46=0,"",IF(O46=U46,CONCATENATE(O46," ",VLOOKUP($A$1,Инфо!$K:$M,3,0)),CONCATENATE(O46,"-",U46," ",VLOOKUP($A$1,Инфо!$K:$M,3,0)))),"")</f>
        <v>10-11 декабря</v>
      </c>
      <c r="F46" s="20" t="s">
        <v>35</v>
      </c>
      <c r="G46" s="20" t="s">
        <v>77</v>
      </c>
      <c r="H46" s="21">
        <f>IF(F46="авто",VLOOKUP(G46,'Расстояние между городами'!C:D,2,0),"")</f>
        <v>272</v>
      </c>
      <c r="I46" s="42">
        <v>24</v>
      </c>
      <c r="J46" s="24"/>
      <c r="K46" s="24"/>
      <c r="L46" s="24" t="s">
        <v>38</v>
      </c>
      <c r="M46" s="24" t="s">
        <v>38</v>
      </c>
      <c r="N46" s="24" t="s">
        <v>38</v>
      </c>
      <c r="O46" s="25">
        <v>10</v>
      </c>
      <c r="P46" s="26">
        <v>0.33333333333333331</v>
      </c>
      <c r="Q46" s="25">
        <v>10</v>
      </c>
      <c r="R46" s="26">
        <v>0.41666666666666669</v>
      </c>
      <c r="S46" s="25">
        <v>11</v>
      </c>
      <c r="T46" s="26">
        <v>0.66666666666666663</v>
      </c>
      <c r="U46" s="25">
        <v>11</v>
      </c>
      <c r="V46" s="26">
        <v>0.75</v>
      </c>
      <c r="W46" s="41"/>
      <c r="X46" s="39"/>
      <c r="Y46" s="37"/>
      <c r="Z46" s="38"/>
      <c r="AA46" s="37"/>
      <c r="AB46" s="38"/>
      <c r="AC46" s="39"/>
      <c r="AD46" s="37"/>
      <c r="AE46" s="40"/>
      <c r="AF46" s="40"/>
      <c r="AG46" s="32">
        <f t="shared" si="0"/>
        <v>2</v>
      </c>
      <c r="AH46" s="33">
        <f t="shared" si="1"/>
        <v>1</v>
      </c>
      <c r="AI46" s="34">
        <f>IFERROR(IF(AG46=0,"",VLOOKUP($D46,Суточные!$A$2:$C$13,3,0)),"")</f>
        <v>1700</v>
      </c>
      <c r="AJ46" s="35">
        <f t="shared" si="2"/>
        <v>3400</v>
      </c>
    </row>
    <row r="47" spans="1:36" ht="30">
      <c r="A47" s="15"/>
      <c r="B47" s="44" t="s">
        <v>76</v>
      </c>
      <c r="C47" s="17" t="str">
        <f>IFERROR(VLOOKUP(B47,Инфо!$A$2:$E$89,4,0),"")</f>
        <v>Управление продаж</v>
      </c>
      <c r="D47" s="18" t="str">
        <f>IFERROR(VLOOKUP($B47,Инфо!$A$3:$E$91,5,0),"")</f>
        <v>Медицинский представитель ОТС</v>
      </c>
      <c r="E47" s="19" t="str">
        <f>IFERROR(IF(B47=0,"",IF(O47=U47,CONCATENATE(O47," ",VLOOKUP($A$1,Инфо!$K:$M,3,0)),CONCATENATE(O47,"-",U47," ",VLOOKUP($A$1,Инфо!$K:$M,3,0)))),"")</f>
        <v>24-25 декабря</v>
      </c>
      <c r="F47" s="20" t="s">
        <v>35</v>
      </c>
      <c r="G47" s="20" t="s">
        <v>78</v>
      </c>
      <c r="H47" s="21">
        <f>IF(F47="авто",VLOOKUP(G47,'Расстояние между городами'!C:D,2,0),"")</f>
        <v>282</v>
      </c>
      <c r="I47" s="42">
        <v>24</v>
      </c>
      <c r="J47" s="24"/>
      <c r="K47" s="24"/>
      <c r="L47" s="24" t="s">
        <v>38</v>
      </c>
      <c r="M47" s="24" t="s">
        <v>38</v>
      </c>
      <c r="N47" s="24" t="s">
        <v>38</v>
      </c>
      <c r="O47" s="25">
        <v>24</v>
      </c>
      <c r="P47" s="26">
        <v>0.33333333333333331</v>
      </c>
      <c r="Q47" s="25">
        <v>24</v>
      </c>
      <c r="R47" s="26">
        <v>0.41666666666666669</v>
      </c>
      <c r="S47" s="25">
        <v>25</v>
      </c>
      <c r="T47" s="26">
        <v>0.66666666666666663</v>
      </c>
      <c r="U47" s="25">
        <v>25</v>
      </c>
      <c r="V47" s="26">
        <v>0.75</v>
      </c>
      <c r="W47" s="41"/>
      <c r="X47" s="39"/>
      <c r="Y47" s="37"/>
      <c r="Z47" s="38"/>
      <c r="AA47" s="37"/>
      <c r="AB47" s="38"/>
      <c r="AC47" s="39"/>
      <c r="AD47" s="37"/>
      <c r="AE47" s="40"/>
      <c r="AF47" s="40"/>
      <c r="AG47" s="32">
        <f t="shared" si="0"/>
        <v>2</v>
      </c>
      <c r="AH47" s="33">
        <f t="shared" si="1"/>
        <v>1</v>
      </c>
      <c r="AI47" s="34">
        <f>IFERROR(IF(AG47=0,"",VLOOKUP($D47,Суточные!$A$2:$C$13,3,0)),"")</f>
        <v>1700</v>
      </c>
      <c r="AJ47" s="35">
        <f t="shared" si="2"/>
        <v>3400</v>
      </c>
    </row>
    <row r="48" spans="1:36" ht="17.25" customHeight="1">
      <c r="A48" s="15"/>
      <c r="B48" s="44"/>
      <c r="C48" s="17" t="str">
        <f>IFERROR(VLOOKUP(B48,Инфо!$A$2:$E$89,4,0),"")</f>
        <v/>
      </c>
      <c r="D48" s="18" t="str">
        <f>IFERROR(VLOOKUP($B48,Инфо!$A$3:$E$91,5,0),"")</f>
        <v/>
      </c>
      <c r="E48" s="19" t="str">
        <f>IFERROR(IF(B48=0,"",IF(O48=U48,CONCATENATE(O48," ",VLOOKUP($A$1,Инфо!$K:$M,3,0)),CONCATENATE(O48,"-",U48," ",VLOOKUP($A$1,Инфо!$K:$M,3,0)))),"")</f>
        <v/>
      </c>
      <c r="F48" s="20"/>
      <c r="G48" s="20"/>
      <c r="H48" s="51" t="str">
        <f>IF(F48="авто",VLOOKUP(G48,'Расстояние между городами'!C:D,2,0),"")</f>
        <v/>
      </c>
      <c r="I48" s="42"/>
      <c r="J48" s="24"/>
      <c r="K48" s="24"/>
      <c r="L48" s="24"/>
      <c r="M48" s="24"/>
      <c r="N48" s="24"/>
      <c r="O48" s="25"/>
      <c r="P48" s="26"/>
      <c r="Q48" s="25"/>
      <c r="R48" s="26"/>
      <c r="S48" s="25"/>
      <c r="T48" s="26"/>
      <c r="U48" s="25"/>
      <c r="V48" s="26"/>
      <c r="W48" s="36"/>
      <c r="X48" s="39"/>
      <c r="Y48" s="37"/>
      <c r="Z48" s="37"/>
      <c r="AA48" s="37"/>
      <c r="AB48" s="37"/>
      <c r="AC48" s="39"/>
      <c r="AD48" s="37"/>
      <c r="AE48" s="40"/>
      <c r="AF48" s="40"/>
      <c r="AG48" s="32" t="str">
        <f t="shared" si="0"/>
        <v/>
      </c>
      <c r="AH48" s="33">
        <f t="shared" si="1"/>
        <v>0</v>
      </c>
      <c r="AI48" s="34" t="str">
        <f>IFERROR(IF(AG48=0,"",VLOOKUP($D48,Суточные!$A$2:$C$13,3,0)),"")</f>
        <v/>
      </c>
      <c r="AJ48" s="35" t="str">
        <f>IFERROR(IF(AG48&gt;1,AG48*AI48,IF(AND(AG48=1,OR(F48="ж/д",F48="авиа")),AG48*AI48,0)),"")</f>
        <v/>
      </c>
    </row>
    <row r="49" spans="1:36" ht="17.25" customHeight="1">
      <c r="A49" s="15"/>
      <c r="B49" s="44"/>
      <c r="C49" s="17" t="str">
        <f>IFERROR(VLOOKUP(B49,Инфо!$A$2:$E$89,4,0),"")</f>
        <v/>
      </c>
      <c r="D49" s="18" t="str">
        <f>IFERROR(VLOOKUP($B49,Инфо!$A$3:$E$91,5,0),"")</f>
        <v/>
      </c>
      <c r="E49" s="19" t="str">
        <f>IFERROR(IF(B49=0,"",IF(O49=U49,CONCATENATE(O49," ",VLOOKUP($A$1,Инфо!$K:$M,3,0)),CONCATENATE(O49,"-",U49," ",VLOOKUP($A$1,Инфо!$K:$M,3,0)))),"")</f>
        <v/>
      </c>
      <c r="F49" s="20"/>
      <c r="G49" s="20"/>
      <c r="H49" s="51" t="str">
        <f>IF(F49="авто",VLOOKUP(G49,'Расстояние между городами'!C:D,2,0),"")</f>
        <v/>
      </c>
      <c r="I49" s="42"/>
      <c r="J49" s="24"/>
      <c r="K49" s="24"/>
      <c r="L49" s="24"/>
      <c r="M49" s="24"/>
      <c r="N49" s="24"/>
      <c r="O49" s="25"/>
      <c r="P49" s="26"/>
      <c r="Q49" s="25"/>
      <c r="R49" s="26"/>
      <c r="S49" s="25"/>
      <c r="T49" s="26"/>
      <c r="U49" s="25"/>
      <c r="V49" s="26"/>
      <c r="W49" s="41"/>
      <c r="X49" s="39"/>
      <c r="Y49" s="37"/>
      <c r="Z49" s="38"/>
      <c r="AA49" s="37"/>
      <c r="AB49" s="38"/>
      <c r="AC49" s="39"/>
      <c r="AD49" s="37"/>
      <c r="AE49" s="40"/>
      <c r="AF49" s="40"/>
      <c r="AG49" s="32" t="str">
        <f t="shared" si="0"/>
        <v/>
      </c>
      <c r="AH49" s="33">
        <f t="shared" si="1"/>
        <v>0</v>
      </c>
      <c r="AI49" s="34" t="str">
        <f>IFERROR(IF(AG49=0,"",VLOOKUP($D49,Суточные!$A$2:$C$13,3,0)),"")</f>
        <v/>
      </c>
      <c r="AJ49" s="35" t="str">
        <f t="shared" ref="AJ49:AJ112" si="3">IFERROR(IF(AG49&gt;1,AG49*AI49,IF(AND(AG49=1,OR(F49="ж/д",F49="авиа")),AG49*AI49,0)),"")</f>
        <v/>
      </c>
    </row>
    <row r="50" spans="1:36" ht="17.25" customHeight="1">
      <c r="A50" s="15"/>
      <c r="B50" s="44"/>
      <c r="C50" s="17" t="str">
        <f>IFERROR(VLOOKUP(B50,Инфо!$A$2:$E$89,4,0),"")</f>
        <v/>
      </c>
      <c r="D50" s="18" t="str">
        <f>IFERROR(VLOOKUP($B50,Инфо!$A$3:$E$91,5,0),"")</f>
        <v/>
      </c>
      <c r="E50" s="19" t="str">
        <f>IFERROR(IF(B50=0,"",IF(O50=U50,CONCATENATE(O50," ",VLOOKUP($A$1,Инфо!$K:$M,3,0)),CONCATENATE(O50,"-",U50," ",VLOOKUP($A$1,Инфо!$K:$M,3,0)))),"")</f>
        <v/>
      </c>
      <c r="F50" s="20"/>
      <c r="G50" s="20"/>
      <c r="H50" s="51" t="str">
        <f>IF(F50="авто",VLOOKUP(G50,'Расстояние между городами'!C:D,2,0),"")</f>
        <v/>
      </c>
      <c r="I50" s="42"/>
      <c r="J50" s="24"/>
      <c r="K50" s="24"/>
      <c r="L50" s="24"/>
      <c r="M50" s="24"/>
      <c r="N50" s="24"/>
      <c r="O50" s="25"/>
      <c r="P50" s="26"/>
      <c r="Q50" s="25"/>
      <c r="R50" s="26"/>
      <c r="S50" s="25"/>
      <c r="T50" s="26"/>
      <c r="U50" s="25"/>
      <c r="V50" s="26"/>
      <c r="W50" s="36"/>
      <c r="X50" s="39"/>
      <c r="Y50" s="37"/>
      <c r="Z50" s="38"/>
      <c r="AA50" s="37"/>
      <c r="AB50" s="37"/>
      <c r="AC50" s="39"/>
      <c r="AD50" s="37"/>
      <c r="AE50" s="40"/>
      <c r="AF50" s="40"/>
      <c r="AG50" s="32" t="str">
        <f t="shared" si="0"/>
        <v/>
      </c>
      <c r="AH50" s="33">
        <f t="shared" si="1"/>
        <v>0</v>
      </c>
      <c r="AI50" s="34" t="str">
        <f>IFERROR(IF(AG50=0,"",VLOOKUP($D50,Суточные!$A$2:$C$13,3,0)),"")</f>
        <v/>
      </c>
      <c r="AJ50" s="35" t="str">
        <f t="shared" si="3"/>
        <v/>
      </c>
    </row>
    <row r="51" spans="1:36" ht="17.25" customHeight="1">
      <c r="A51" s="15"/>
      <c r="B51" s="44"/>
      <c r="C51" s="17" t="str">
        <f>IFERROR(VLOOKUP(B51,Инфо!$A$2:$E$89,4,0),"")</f>
        <v/>
      </c>
      <c r="D51" s="18" t="str">
        <f>IFERROR(VLOOKUP($B51,Инфо!$A$3:$E$91,5,0),"")</f>
        <v/>
      </c>
      <c r="E51" s="19" t="str">
        <f>IFERROR(IF(B51=0,"",IF(O51=U51,CONCATENATE(O51," ",VLOOKUP($A$1,Инфо!$K:$M,3,0)),CONCATENATE(O51,"-",U51," ",VLOOKUP($A$1,Инфо!$K:$M,3,0)))),"")</f>
        <v/>
      </c>
      <c r="F51" s="20"/>
      <c r="G51" s="20"/>
      <c r="H51" s="51" t="str">
        <f>IF(F51="авто",VLOOKUP(G51,'Расстояние между городами'!C:D,2,0),"")</f>
        <v/>
      </c>
      <c r="I51" s="42"/>
      <c r="J51" s="24"/>
      <c r="K51" s="24"/>
      <c r="L51" s="24"/>
      <c r="M51" s="24"/>
      <c r="N51" s="24"/>
      <c r="O51" s="25"/>
      <c r="P51" s="26"/>
      <c r="Q51" s="25"/>
      <c r="R51" s="26"/>
      <c r="S51" s="25"/>
      <c r="T51" s="26"/>
      <c r="U51" s="25"/>
      <c r="V51" s="26"/>
      <c r="W51" s="41"/>
      <c r="X51" s="39"/>
      <c r="Y51" s="37"/>
      <c r="Z51" s="38"/>
      <c r="AA51" s="37"/>
      <c r="AB51" s="38"/>
      <c r="AC51" s="39"/>
      <c r="AD51" s="37"/>
      <c r="AE51" s="40"/>
      <c r="AF51" s="40"/>
      <c r="AG51" s="32" t="str">
        <f t="shared" si="0"/>
        <v/>
      </c>
      <c r="AH51" s="33">
        <f t="shared" si="1"/>
        <v>0</v>
      </c>
      <c r="AI51" s="34" t="str">
        <f>IFERROR(IF(AG51=0,"",VLOOKUP($D51,Суточные!$A$2:$C$13,3,0)),"")</f>
        <v/>
      </c>
      <c r="AJ51" s="35" t="str">
        <f t="shared" si="3"/>
        <v/>
      </c>
    </row>
    <row r="52" spans="1:36" ht="17.25" customHeight="1">
      <c r="A52" s="15"/>
      <c r="B52" s="44"/>
      <c r="C52" s="17" t="str">
        <f>IFERROR(VLOOKUP(B52,Инфо!$A$2:$E$89,4,0),"")</f>
        <v/>
      </c>
      <c r="D52" s="18" t="str">
        <f>IFERROR(VLOOKUP($B52,Инфо!$A$3:$E$91,5,0),"")</f>
        <v/>
      </c>
      <c r="E52" s="19" t="str">
        <f>IFERROR(IF(B52=0,"",IF(O52=U52,CONCATENATE(O52," ",VLOOKUP($A$1,Инфо!$K:$M,3,0)),CONCATENATE(O52,"-",U52," ",VLOOKUP($A$1,Инфо!$K:$M,3,0)))),"")</f>
        <v/>
      </c>
      <c r="F52" s="20"/>
      <c r="G52" s="20"/>
      <c r="H52" s="51" t="str">
        <f>IF(F52="авто",VLOOKUP(G52,'Расстояние между городами'!C:D,2,0),"")</f>
        <v/>
      </c>
      <c r="I52" s="42"/>
      <c r="J52" s="24"/>
      <c r="K52" s="24"/>
      <c r="L52" s="24"/>
      <c r="M52" s="24"/>
      <c r="N52" s="24"/>
      <c r="O52" s="25"/>
      <c r="P52" s="26"/>
      <c r="Q52" s="25"/>
      <c r="R52" s="26"/>
      <c r="S52" s="25"/>
      <c r="T52" s="26"/>
      <c r="U52" s="25"/>
      <c r="V52" s="26"/>
      <c r="W52" s="36"/>
      <c r="X52" s="39"/>
      <c r="Y52" s="37"/>
      <c r="Z52" s="37"/>
      <c r="AA52" s="37"/>
      <c r="AB52" s="38"/>
      <c r="AC52" s="39"/>
      <c r="AD52" s="37"/>
      <c r="AE52" s="40"/>
      <c r="AF52" s="40"/>
      <c r="AG52" s="32" t="str">
        <f t="shared" si="0"/>
        <v/>
      </c>
      <c r="AH52" s="33">
        <f t="shared" si="1"/>
        <v>0</v>
      </c>
      <c r="AI52" s="34" t="str">
        <f>IFERROR(IF(AG52=0,"",VLOOKUP($D52,Суточные!$A$2:$C$13,3,0)),"")</f>
        <v/>
      </c>
      <c r="AJ52" s="35" t="str">
        <f t="shared" si="3"/>
        <v/>
      </c>
    </row>
    <row r="53" spans="1:36" ht="17.25" customHeight="1">
      <c r="A53" s="52"/>
      <c r="B53" s="44"/>
      <c r="C53" s="17" t="str">
        <f>IFERROR(VLOOKUP(B53,Инфо!$A$2:$E$89,4,0),"")</f>
        <v/>
      </c>
      <c r="D53" s="18" t="str">
        <f>IFERROR(VLOOKUP($B53,Инфо!$A$3:$E$91,5,0),"")</f>
        <v/>
      </c>
      <c r="E53" s="19" t="str">
        <f>IFERROR(IF(B53=0,"",IF(O53=U53,CONCATENATE(O53," ",VLOOKUP($A$1,Инфо!$K:$M,3,0)),CONCATENATE(O53,"-",U53," ",VLOOKUP($A$1,Инфо!$K:$M,3,0)))),"")</f>
        <v/>
      </c>
      <c r="F53" s="20"/>
      <c r="G53" s="20"/>
      <c r="H53" s="51" t="str">
        <f>IF(F53="авто",VLOOKUP(G53,'Расстояние между городами'!C:D,2,0),"")</f>
        <v/>
      </c>
      <c r="I53" s="42"/>
      <c r="J53" s="24"/>
      <c r="K53" s="24"/>
      <c r="L53" s="24"/>
      <c r="M53" s="24"/>
      <c r="N53" s="24"/>
      <c r="O53" s="25"/>
      <c r="P53" s="26"/>
      <c r="Q53" s="25"/>
      <c r="R53" s="26"/>
      <c r="S53" s="25"/>
      <c r="T53" s="26"/>
      <c r="U53" s="25"/>
      <c r="V53" s="26"/>
      <c r="W53" s="36"/>
      <c r="X53" s="39"/>
      <c r="Y53" s="37"/>
      <c r="Z53" s="37"/>
      <c r="AA53" s="37"/>
      <c r="AB53" s="38"/>
      <c r="AC53" s="39"/>
      <c r="AD53" s="37"/>
      <c r="AE53" s="40"/>
      <c r="AF53" s="40"/>
      <c r="AG53" s="32" t="str">
        <f t="shared" si="0"/>
        <v/>
      </c>
      <c r="AH53" s="33">
        <f t="shared" si="1"/>
        <v>0</v>
      </c>
      <c r="AI53" s="34" t="str">
        <f>IFERROR(IF(AG53=0,"",VLOOKUP($D53,Суточные!$A$2:$C$13,3,0)),"")</f>
        <v/>
      </c>
      <c r="AJ53" s="35" t="str">
        <f t="shared" si="3"/>
        <v/>
      </c>
    </row>
    <row r="54" spans="1:36" ht="17.25" customHeight="1">
      <c r="A54" s="53"/>
      <c r="B54" s="44"/>
      <c r="C54" s="17" t="str">
        <f>IFERROR(VLOOKUP(B54,Инфо!$A$2:$E$89,4,0),"")</f>
        <v/>
      </c>
      <c r="D54" s="18" t="str">
        <f>IFERROR(VLOOKUP($B54,Инфо!$A$3:$E$91,5,0),"")</f>
        <v/>
      </c>
      <c r="E54" s="19" t="str">
        <f>IFERROR(IF(B54=0,"",IF(O54=U54,CONCATENATE(O54," ",VLOOKUP($A$1,Инфо!$K:$M,3,0)),CONCATENATE(O54,"-",U54," ",VLOOKUP($A$1,Инфо!$K:$M,3,0)))),"")</f>
        <v/>
      </c>
      <c r="F54" s="20"/>
      <c r="G54" s="20"/>
      <c r="H54" s="51" t="str">
        <f>IF(F54="авто",VLOOKUP(G54,'Расстояние между городами'!C:D,2,0),"")</f>
        <v/>
      </c>
      <c r="I54" s="42"/>
      <c r="J54" s="24"/>
      <c r="K54" s="24"/>
      <c r="L54" s="24"/>
      <c r="M54" s="24"/>
      <c r="N54" s="24"/>
      <c r="O54" s="25"/>
      <c r="P54" s="26"/>
      <c r="Q54" s="25"/>
      <c r="R54" s="26"/>
      <c r="S54" s="25"/>
      <c r="T54" s="26"/>
      <c r="U54" s="25"/>
      <c r="V54" s="26"/>
      <c r="W54" s="36"/>
      <c r="X54" s="39"/>
      <c r="Y54" s="37"/>
      <c r="Z54" s="37"/>
      <c r="AA54" s="37"/>
      <c r="AB54" s="38"/>
      <c r="AC54" s="39"/>
      <c r="AD54" s="37"/>
      <c r="AE54" s="40"/>
      <c r="AF54" s="40"/>
      <c r="AG54" s="32" t="str">
        <f t="shared" si="0"/>
        <v/>
      </c>
      <c r="AH54" s="33">
        <f t="shared" si="1"/>
        <v>0</v>
      </c>
      <c r="AI54" s="34" t="str">
        <f>IFERROR(IF(AG54=0,"",VLOOKUP($D54,Суточные!$A$2:$C$13,3,0)),"")</f>
        <v/>
      </c>
      <c r="AJ54" s="35" t="str">
        <f t="shared" si="3"/>
        <v/>
      </c>
    </row>
    <row r="55" spans="1:36" ht="17.25" customHeight="1">
      <c r="A55" s="53"/>
      <c r="B55" s="44"/>
      <c r="C55" s="17" t="str">
        <f>IFERROR(VLOOKUP(B55,Инфо!$A$2:$E$89,4,0),"")</f>
        <v/>
      </c>
      <c r="D55" s="18" t="str">
        <f>IFERROR(VLOOKUP($B55,Инфо!$A$3:$E$91,5,0),"")</f>
        <v/>
      </c>
      <c r="E55" s="19" t="str">
        <f>IFERROR(IF(B55=0,"",IF(O55=U55,CONCATENATE(O55," ",VLOOKUP($A$1,Инфо!$K:$M,3,0)),CONCATENATE(O55,"-",U55," ",VLOOKUP($A$1,Инфо!$K:$M,3,0)))),"")</f>
        <v/>
      </c>
      <c r="F55" s="20"/>
      <c r="G55" s="20"/>
      <c r="H55" s="51" t="str">
        <f>IF(F55="авто",VLOOKUP(G55,'Расстояние между городами'!C:D,2,0),"")</f>
        <v/>
      </c>
      <c r="I55" s="42"/>
      <c r="J55" s="24"/>
      <c r="K55" s="24"/>
      <c r="L55" s="24"/>
      <c r="M55" s="24"/>
      <c r="N55" s="24"/>
      <c r="O55" s="25"/>
      <c r="P55" s="26"/>
      <c r="Q55" s="25"/>
      <c r="R55" s="26"/>
      <c r="S55" s="25"/>
      <c r="T55" s="26"/>
      <c r="U55" s="25"/>
      <c r="V55" s="26"/>
      <c r="W55" s="36"/>
      <c r="X55" s="39"/>
      <c r="Y55" s="37"/>
      <c r="Z55" s="37"/>
      <c r="AA55" s="37"/>
      <c r="AB55" s="38"/>
      <c r="AC55" s="39"/>
      <c r="AD55" s="37"/>
      <c r="AE55" s="40"/>
      <c r="AF55" s="40"/>
      <c r="AG55" s="32" t="str">
        <f t="shared" si="0"/>
        <v/>
      </c>
      <c r="AH55" s="33">
        <f t="shared" si="1"/>
        <v>0</v>
      </c>
      <c r="AI55" s="34" t="str">
        <f>IFERROR(IF(AG55=0,"",VLOOKUP($D55,Суточные!$A$2:$C$13,3,0)),"")</f>
        <v/>
      </c>
      <c r="AJ55" s="35" t="str">
        <f t="shared" si="3"/>
        <v/>
      </c>
    </row>
    <row r="56" spans="1:36" ht="17.25" customHeight="1">
      <c r="A56" s="53"/>
      <c r="B56" s="44"/>
      <c r="C56" s="17" t="str">
        <f>IFERROR(VLOOKUP(B56,Инфо!$A$2:$E$89,4,0),"")</f>
        <v/>
      </c>
      <c r="D56" s="18" t="str">
        <f>IFERROR(VLOOKUP($B56,Инфо!$A$3:$E$91,5,0),"")</f>
        <v/>
      </c>
      <c r="E56" s="19" t="str">
        <f>IFERROR(IF(B56=0,"",IF(O56=U56,CONCATENATE(O56," ",VLOOKUP($A$1,Инфо!$K:$M,3,0)),CONCATENATE(O56,"-",U56," ",VLOOKUP($A$1,Инфо!$K:$M,3,0)))),"")</f>
        <v/>
      </c>
      <c r="F56" s="20"/>
      <c r="G56" s="20"/>
      <c r="H56" s="51" t="str">
        <f>IF(F56="авто",VLOOKUP(G56,'Расстояние между городами'!C:D,2,0),"")</f>
        <v/>
      </c>
      <c r="I56" s="42"/>
      <c r="J56" s="24"/>
      <c r="K56" s="24"/>
      <c r="L56" s="24"/>
      <c r="M56" s="24"/>
      <c r="N56" s="24"/>
      <c r="O56" s="25"/>
      <c r="P56" s="26"/>
      <c r="Q56" s="25"/>
      <c r="R56" s="26"/>
      <c r="S56" s="25"/>
      <c r="T56" s="26"/>
      <c r="U56" s="25"/>
      <c r="V56" s="26"/>
      <c r="W56" s="36"/>
      <c r="X56" s="39"/>
      <c r="Y56" s="37"/>
      <c r="Z56" s="37"/>
      <c r="AA56" s="37"/>
      <c r="AB56" s="38"/>
      <c r="AC56" s="39"/>
      <c r="AD56" s="37"/>
      <c r="AE56" s="40"/>
      <c r="AF56" s="40"/>
      <c r="AG56" s="32" t="str">
        <f t="shared" si="0"/>
        <v/>
      </c>
      <c r="AH56" s="33">
        <f t="shared" si="1"/>
        <v>0</v>
      </c>
      <c r="AI56" s="34" t="str">
        <f>IFERROR(IF(AG56=0,"",VLOOKUP($D56,Суточные!$A$2:$C$13,3,0)),"")</f>
        <v/>
      </c>
      <c r="AJ56" s="35" t="str">
        <f t="shared" si="3"/>
        <v/>
      </c>
    </row>
    <row r="57" spans="1:36" ht="17.25" customHeight="1">
      <c r="A57" s="53"/>
      <c r="B57" s="44"/>
      <c r="C57" s="17" t="str">
        <f>IFERROR(VLOOKUP(B57,Инфо!$A$2:$E$89,4,0),"")</f>
        <v/>
      </c>
      <c r="D57" s="18" t="str">
        <f>IFERROR(VLOOKUP($B57,Инфо!$A$3:$E$91,5,0),"")</f>
        <v/>
      </c>
      <c r="E57" s="19" t="str">
        <f>IFERROR(IF(B57=0,"",IF(O57=U57,CONCATENATE(O57," ",VLOOKUP($A$1,Инфо!$K:$M,3,0)),CONCATENATE(O57,"-",U57," ",VLOOKUP($A$1,Инфо!$K:$M,3,0)))),"")</f>
        <v/>
      </c>
      <c r="F57" s="20"/>
      <c r="G57" s="20"/>
      <c r="H57" s="51" t="str">
        <f>IF(F57="авто",VLOOKUP(G57,'Расстояние между городами'!C:D,2,0),"")</f>
        <v/>
      </c>
      <c r="I57" s="42"/>
      <c r="J57" s="24"/>
      <c r="K57" s="24"/>
      <c r="L57" s="24"/>
      <c r="M57" s="24"/>
      <c r="N57" s="24"/>
      <c r="O57" s="25"/>
      <c r="P57" s="26"/>
      <c r="Q57" s="25"/>
      <c r="R57" s="26"/>
      <c r="S57" s="25"/>
      <c r="T57" s="26"/>
      <c r="U57" s="25"/>
      <c r="V57" s="26"/>
      <c r="W57" s="36"/>
      <c r="X57" s="39"/>
      <c r="Y57" s="37"/>
      <c r="Z57" s="37"/>
      <c r="AA57" s="37"/>
      <c r="AB57" s="38"/>
      <c r="AC57" s="39"/>
      <c r="AD57" s="37"/>
      <c r="AE57" s="40"/>
      <c r="AF57" s="40"/>
      <c r="AG57" s="32" t="str">
        <f t="shared" si="0"/>
        <v/>
      </c>
      <c r="AH57" s="33">
        <f t="shared" si="1"/>
        <v>0</v>
      </c>
      <c r="AI57" s="34" t="str">
        <f>IFERROR(IF(AG57=0,"",VLOOKUP($D57,Суточные!$A$2:$C$13,3,0)),"")</f>
        <v/>
      </c>
      <c r="AJ57" s="35" t="str">
        <f t="shared" si="3"/>
        <v/>
      </c>
    </row>
    <row r="58" spans="1:36" ht="17.25" customHeight="1">
      <c r="A58" s="53"/>
      <c r="B58" s="44"/>
      <c r="C58" s="17" t="str">
        <f>IFERROR(VLOOKUP(B58,Инфо!$A$2:$E$89,4,0),"")</f>
        <v/>
      </c>
      <c r="D58" s="18" t="str">
        <f>IFERROR(VLOOKUP($B58,Инфо!$A$3:$E$91,5,0),"")</f>
        <v/>
      </c>
      <c r="E58" s="19" t="str">
        <f>IFERROR(IF(B58=0,"",IF(O58=U58,CONCATENATE(O58," ",VLOOKUP($A$1,Инфо!$K:$M,3,0)),CONCATENATE(O58,"-",U58," ",VLOOKUP($A$1,Инфо!$K:$M,3,0)))),"")</f>
        <v/>
      </c>
      <c r="F58" s="20"/>
      <c r="G58" s="20"/>
      <c r="H58" s="51" t="str">
        <f>IF(F58="авто",VLOOKUP(G58,'Расстояние между городами'!C:D,2,0),"")</f>
        <v/>
      </c>
      <c r="I58" s="42"/>
      <c r="J58" s="24"/>
      <c r="K58" s="24"/>
      <c r="L58" s="24"/>
      <c r="M58" s="24"/>
      <c r="N58" s="24"/>
      <c r="O58" s="25"/>
      <c r="P58" s="26"/>
      <c r="Q58" s="25"/>
      <c r="R58" s="26"/>
      <c r="S58" s="25"/>
      <c r="T58" s="26"/>
      <c r="U58" s="25"/>
      <c r="V58" s="26"/>
      <c r="W58" s="36"/>
      <c r="X58" s="39"/>
      <c r="Y58" s="37"/>
      <c r="Z58" s="37"/>
      <c r="AA58" s="37"/>
      <c r="AB58" s="38"/>
      <c r="AC58" s="39"/>
      <c r="AD58" s="37"/>
      <c r="AE58" s="40"/>
      <c r="AF58" s="40"/>
      <c r="AG58" s="32" t="str">
        <f t="shared" si="0"/>
        <v/>
      </c>
      <c r="AH58" s="33">
        <f t="shared" si="1"/>
        <v>0</v>
      </c>
      <c r="AI58" s="34" t="str">
        <f>IFERROR(IF(AG58=0,"",VLOOKUP($D58,Суточные!$A$2:$C$13,3,0)),"")</f>
        <v/>
      </c>
      <c r="AJ58" s="35" t="str">
        <f t="shared" si="3"/>
        <v/>
      </c>
    </row>
    <row r="59" spans="1:36" ht="17.25" customHeight="1">
      <c r="A59" s="53"/>
      <c r="B59" s="44"/>
      <c r="C59" s="17" t="str">
        <f>IFERROR(VLOOKUP(B59,Инфо!$A$2:$E$89,4,0),"")</f>
        <v/>
      </c>
      <c r="D59" s="18" t="str">
        <f>IFERROR(VLOOKUP($B59,Инфо!$A$3:$E$91,5,0),"")</f>
        <v/>
      </c>
      <c r="E59" s="19" t="str">
        <f>IFERROR(IF(B59=0,"",IF(O59=U59,CONCATENATE(O59," ",VLOOKUP($A$1,Инфо!$K:$M,3,0)),CONCATENATE(O59,"-",U59," ",VLOOKUP($A$1,Инфо!$K:$M,3,0)))),"")</f>
        <v/>
      </c>
      <c r="F59" s="20"/>
      <c r="G59" s="20"/>
      <c r="H59" s="51" t="str">
        <f>IF(F59="авто",VLOOKUP(G59,'Расстояние между городами'!C:D,2,0),"")</f>
        <v/>
      </c>
      <c r="I59" s="42"/>
      <c r="J59" s="24"/>
      <c r="K59" s="24"/>
      <c r="L59" s="24"/>
      <c r="M59" s="24"/>
      <c r="N59" s="24"/>
      <c r="O59" s="25"/>
      <c r="P59" s="26"/>
      <c r="Q59" s="25"/>
      <c r="R59" s="26"/>
      <c r="S59" s="25"/>
      <c r="T59" s="26"/>
      <c r="U59" s="25"/>
      <c r="V59" s="26"/>
      <c r="W59" s="36"/>
      <c r="X59" s="39"/>
      <c r="Y59" s="37"/>
      <c r="Z59" s="37"/>
      <c r="AA59" s="37"/>
      <c r="AB59" s="38"/>
      <c r="AC59" s="39"/>
      <c r="AD59" s="37"/>
      <c r="AE59" s="40"/>
      <c r="AF59" s="40"/>
      <c r="AG59" s="32" t="str">
        <f t="shared" si="0"/>
        <v/>
      </c>
      <c r="AH59" s="33">
        <f t="shared" si="1"/>
        <v>0</v>
      </c>
      <c r="AI59" s="34" t="str">
        <f>IFERROR(IF(AG59=0,"",VLOOKUP($D59,Суточные!$A$2:$C$13,3,0)),"")</f>
        <v/>
      </c>
      <c r="AJ59" s="35" t="str">
        <f t="shared" si="3"/>
        <v/>
      </c>
    </row>
    <row r="60" spans="1:36" ht="17.25" customHeight="1">
      <c r="A60" s="53"/>
      <c r="B60" s="44"/>
      <c r="C60" s="17" t="str">
        <f>IFERROR(VLOOKUP(B60,Инфо!$A$2:$E$89,4,0),"")</f>
        <v/>
      </c>
      <c r="D60" s="18" t="str">
        <f>IFERROR(VLOOKUP($B60,Инфо!$A$3:$E$91,5,0),"")</f>
        <v/>
      </c>
      <c r="E60" s="19" t="str">
        <f>IFERROR(IF(B60=0,"",IF(O60=U60,CONCATENATE(O60," ",VLOOKUP($A$1,Инфо!$K:$M,3,0)),CONCATENATE(O60,"-",U60," ",VLOOKUP($A$1,Инфо!$K:$M,3,0)))),"")</f>
        <v/>
      </c>
      <c r="F60" s="20"/>
      <c r="G60" s="20"/>
      <c r="H60" s="51" t="str">
        <f>IF(F60="авто",VLOOKUP(G60,'Расстояние между городами'!C:D,2,0),"")</f>
        <v/>
      </c>
      <c r="I60" s="42"/>
      <c r="J60" s="24"/>
      <c r="K60" s="24"/>
      <c r="L60" s="24"/>
      <c r="M60" s="24"/>
      <c r="N60" s="24"/>
      <c r="O60" s="25"/>
      <c r="P60" s="26"/>
      <c r="Q60" s="25"/>
      <c r="R60" s="26"/>
      <c r="S60" s="25"/>
      <c r="T60" s="26"/>
      <c r="U60" s="25"/>
      <c r="V60" s="26"/>
      <c r="W60" s="36"/>
      <c r="X60" s="39"/>
      <c r="Y60" s="37"/>
      <c r="Z60" s="37"/>
      <c r="AA60" s="37"/>
      <c r="AB60" s="38"/>
      <c r="AC60" s="39"/>
      <c r="AD60" s="37"/>
      <c r="AE60" s="40"/>
      <c r="AF60" s="40"/>
      <c r="AG60" s="32" t="str">
        <f t="shared" si="0"/>
        <v/>
      </c>
      <c r="AH60" s="33">
        <f t="shared" si="1"/>
        <v>0</v>
      </c>
      <c r="AI60" s="34" t="str">
        <f>IFERROR(IF(AG60=0,"",VLOOKUP($D60,Суточные!$A$2:$C$13,3,0)),"")</f>
        <v/>
      </c>
      <c r="AJ60" s="35" t="str">
        <f t="shared" si="3"/>
        <v/>
      </c>
    </row>
    <row r="61" spans="1:36" ht="17.25" customHeight="1">
      <c r="A61" s="53"/>
      <c r="B61" s="44"/>
      <c r="C61" s="17" t="str">
        <f>IFERROR(VLOOKUP(B61,Инфо!$A$2:$E$89,4,0),"")</f>
        <v/>
      </c>
      <c r="D61" s="18" t="str">
        <f>IFERROR(VLOOKUP($B61,Инфо!$A$3:$E$91,5,0),"")</f>
        <v/>
      </c>
      <c r="E61" s="19" t="str">
        <f>IFERROR(IF(B61=0,"",IF(O61=U61,CONCATENATE(O61," ",VLOOKUP($A$1,Инфо!$K:$M,3,0)),CONCATENATE(O61,"-",U61," ",VLOOKUP($A$1,Инфо!$K:$M,3,0)))),"")</f>
        <v/>
      </c>
      <c r="F61" s="20"/>
      <c r="G61" s="20"/>
      <c r="H61" s="51" t="str">
        <f>IF(F61="авто",VLOOKUP(G61,'Расстояние между городами'!C:D,2,0),"")</f>
        <v/>
      </c>
      <c r="I61" s="42"/>
      <c r="J61" s="24"/>
      <c r="K61" s="24"/>
      <c r="L61" s="24"/>
      <c r="M61" s="24"/>
      <c r="N61" s="24"/>
      <c r="O61" s="25"/>
      <c r="P61" s="26"/>
      <c r="Q61" s="25"/>
      <c r="R61" s="26"/>
      <c r="S61" s="25"/>
      <c r="T61" s="26"/>
      <c r="U61" s="25"/>
      <c r="V61" s="26"/>
      <c r="W61" s="36"/>
      <c r="X61" s="39"/>
      <c r="Y61" s="37"/>
      <c r="Z61" s="37"/>
      <c r="AA61" s="37"/>
      <c r="AB61" s="38"/>
      <c r="AC61" s="39"/>
      <c r="AD61" s="37"/>
      <c r="AE61" s="40"/>
      <c r="AF61" s="40"/>
      <c r="AG61" s="32" t="str">
        <f t="shared" si="0"/>
        <v/>
      </c>
      <c r="AH61" s="33">
        <f t="shared" si="1"/>
        <v>0</v>
      </c>
      <c r="AI61" s="34" t="str">
        <f>IFERROR(IF(AG61=0,"",VLOOKUP($D61,Суточные!$A$2:$C$13,3,0)),"")</f>
        <v/>
      </c>
      <c r="AJ61" s="35" t="str">
        <f t="shared" si="3"/>
        <v/>
      </c>
    </row>
    <row r="62" spans="1:36" ht="17.25" customHeight="1">
      <c r="A62" s="53"/>
      <c r="B62" s="44"/>
      <c r="C62" s="17" t="str">
        <f>IFERROR(VLOOKUP(B62,Инфо!$A$2:$E$89,4,0),"")</f>
        <v/>
      </c>
      <c r="D62" s="18" t="str">
        <f>IFERROR(VLOOKUP($B62,Инфо!$A$3:$E$91,5,0),"")</f>
        <v/>
      </c>
      <c r="E62" s="19" t="str">
        <f>IFERROR(IF(B62=0,"",IF(O62=U62,CONCATENATE(O62," ",VLOOKUP($A$1,Инфо!$K:$M,3,0)),CONCATENATE(O62,"-",U62," ",VLOOKUP($A$1,Инфо!$K:$M,3,0)))),"")</f>
        <v/>
      </c>
      <c r="F62" s="20"/>
      <c r="G62" s="20"/>
      <c r="H62" s="51" t="str">
        <f>IF(F62="авто",VLOOKUP(G62,'Расстояние между городами'!C:D,2,0),"")</f>
        <v/>
      </c>
      <c r="I62" s="42"/>
      <c r="J62" s="24"/>
      <c r="K62" s="24"/>
      <c r="L62" s="24"/>
      <c r="M62" s="24"/>
      <c r="N62" s="24"/>
      <c r="O62" s="25"/>
      <c r="P62" s="26"/>
      <c r="Q62" s="25"/>
      <c r="R62" s="26"/>
      <c r="S62" s="25"/>
      <c r="T62" s="26"/>
      <c r="U62" s="25"/>
      <c r="V62" s="26"/>
      <c r="W62" s="36"/>
      <c r="X62" s="39"/>
      <c r="Y62" s="37"/>
      <c r="Z62" s="37"/>
      <c r="AA62" s="37"/>
      <c r="AB62" s="38"/>
      <c r="AC62" s="39"/>
      <c r="AD62" s="37"/>
      <c r="AE62" s="40"/>
      <c r="AF62" s="40"/>
      <c r="AG62" s="32" t="str">
        <f t="shared" si="0"/>
        <v/>
      </c>
      <c r="AH62" s="33">
        <f t="shared" si="1"/>
        <v>0</v>
      </c>
      <c r="AI62" s="34" t="str">
        <f>IFERROR(IF(AG62=0,"",VLOOKUP($D62,Суточные!$A$2:$C$13,3,0)),"")</f>
        <v/>
      </c>
      <c r="AJ62" s="35" t="str">
        <f t="shared" si="3"/>
        <v/>
      </c>
    </row>
    <row r="63" spans="1:36" ht="17.25" customHeight="1">
      <c r="A63" s="53"/>
      <c r="B63" s="44"/>
      <c r="C63" s="17" t="str">
        <f>IFERROR(VLOOKUP(B63,Инфо!$A$2:$E$89,4,0),"")</f>
        <v/>
      </c>
      <c r="D63" s="18" t="str">
        <f>IFERROR(VLOOKUP($B63,Инфо!$A$3:$E$91,5,0),"")</f>
        <v/>
      </c>
      <c r="E63" s="19" t="str">
        <f>IFERROR(IF(B63=0,"",IF(O63=U63,CONCATENATE(O63," ",VLOOKUP($A$1,Инфо!$K:$M,3,0)),CONCATENATE(O63,"-",U63," ",VLOOKUP($A$1,Инфо!$K:$M,3,0)))),"")</f>
        <v/>
      </c>
      <c r="F63" s="20"/>
      <c r="G63" s="20"/>
      <c r="H63" s="51" t="str">
        <f>IF(F63="авто",VLOOKUP(G63,'Расстояние между городами'!C:D,2,0),"")</f>
        <v/>
      </c>
      <c r="I63" s="42"/>
      <c r="J63" s="24"/>
      <c r="K63" s="24"/>
      <c r="L63" s="24"/>
      <c r="M63" s="24"/>
      <c r="N63" s="24"/>
      <c r="O63" s="25"/>
      <c r="P63" s="26"/>
      <c r="Q63" s="25"/>
      <c r="R63" s="26"/>
      <c r="S63" s="25"/>
      <c r="T63" s="26"/>
      <c r="U63" s="25"/>
      <c r="V63" s="26"/>
      <c r="W63" s="36"/>
      <c r="X63" s="39"/>
      <c r="Y63" s="37"/>
      <c r="Z63" s="37"/>
      <c r="AA63" s="37"/>
      <c r="AB63" s="38"/>
      <c r="AC63" s="39"/>
      <c r="AD63" s="37"/>
      <c r="AE63" s="40"/>
      <c r="AF63" s="40"/>
      <c r="AG63" s="32" t="str">
        <f t="shared" si="0"/>
        <v/>
      </c>
      <c r="AH63" s="33">
        <f t="shared" si="1"/>
        <v>0</v>
      </c>
      <c r="AI63" s="34" t="str">
        <f>IFERROR(IF(AG63=0,"",VLOOKUP($D63,Суточные!$A$2:$C$13,3,0)),"")</f>
        <v/>
      </c>
      <c r="AJ63" s="35" t="str">
        <f t="shared" si="3"/>
        <v/>
      </c>
    </row>
    <row r="64" spans="1:36" ht="17.25" customHeight="1">
      <c r="A64" s="53"/>
      <c r="B64" s="44"/>
      <c r="C64" s="17" t="str">
        <f>IFERROR(VLOOKUP(B64,Инфо!$A$2:$E$89,4,0),"")</f>
        <v/>
      </c>
      <c r="D64" s="18" t="str">
        <f>IFERROR(VLOOKUP($B64,Инфо!$A$3:$E$91,5,0),"")</f>
        <v/>
      </c>
      <c r="E64" s="19" t="str">
        <f>IFERROR(IF(B64=0,"",IF(O64=U64,CONCATENATE(O64," ",VLOOKUP($A$1,Инфо!$K:$M,3,0)),CONCATENATE(O64,"-",U64," ",VLOOKUP($A$1,Инфо!$K:$M,3,0)))),"")</f>
        <v/>
      </c>
      <c r="F64" s="20"/>
      <c r="G64" s="20"/>
      <c r="H64" s="51" t="str">
        <f>IF(F64="авто",VLOOKUP(G64,'Расстояние между городами'!C:D,2,0),"")</f>
        <v/>
      </c>
      <c r="I64" s="42"/>
      <c r="J64" s="24"/>
      <c r="K64" s="24"/>
      <c r="L64" s="24"/>
      <c r="M64" s="24"/>
      <c r="N64" s="24"/>
      <c r="O64" s="25"/>
      <c r="P64" s="26"/>
      <c r="Q64" s="25"/>
      <c r="R64" s="26"/>
      <c r="S64" s="25"/>
      <c r="T64" s="26"/>
      <c r="U64" s="25"/>
      <c r="V64" s="26"/>
      <c r="W64" s="36"/>
      <c r="X64" s="39"/>
      <c r="Y64" s="37"/>
      <c r="Z64" s="37"/>
      <c r="AA64" s="37"/>
      <c r="AB64" s="38"/>
      <c r="AC64" s="39"/>
      <c r="AD64" s="37"/>
      <c r="AE64" s="40"/>
      <c r="AF64" s="40"/>
      <c r="AG64" s="32" t="str">
        <f t="shared" si="0"/>
        <v/>
      </c>
      <c r="AH64" s="33">
        <f t="shared" si="1"/>
        <v>0</v>
      </c>
      <c r="AI64" s="34" t="str">
        <f>IFERROR(IF(AG64=0,"",VLOOKUP($D64,Суточные!$A$2:$C$13,3,0)),"")</f>
        <v/>
      </c>
      <c r="AJ64" s="35" t="str">
        <f t="shared" si="3"/>
        <v/>
      </c>
    </row>
    <row r="65" spans="1:36" ht="17.25" customHeight="1">
      <c r="A65" s="53"/>
      <c r="B65" s="44"/>
      <c r="C65" s="17" t="str">
        <f>IFERROR(VLOOKUP(B65,Инфо!$A$2:$E$89,4,0),"")</f>
        <v/>
      </c>
      <c r="D65" s="18" t="str">
        <f>IFERROR(VLOOKUP($B65,Инфо!$A$3:$E$91,5,0),"")</f>
        <v/>
      </c>
      <c r="E65" s="19" t="str">
        <f>IFERROR(IF(B65=0,"",IF(O65=U65,CONCATENATE(O65," ",VLOOKUP($A$1,Инфо!$K:$M,3,0)),CONCATENATE(O65,"-",U65," ",VLOOKUP($A$1,Инфо!$K:$M,3,0)))),"")</f>
        <v/>
      </c>
      <c r="F65" s="20"/>
      <c r="G65" s="20"/>
      <c r="H65" s="51" t="str">
        <f>IF(F65="авто",VLOOKUP(G65,'Расстояние между городами'!C:D,2,0),"")</f>
        <v/>
      </c>
      <c r="I65" s="42"/>
      <c r="J65" s="24"/>
      <c r="K65" s="24"/>
      <c r="L65" s="24"/>
      <c r="M65" s="24"/>
      <c r="N65" s="24"/>
      <c r="O65" s="25"/>
      <c r="P65" s="26"/>
      <c r="Q65" s="25"/>
      <c r="R65" s="26"/>
      <c r="S65" s="25"/>
      <c r="T65" s="26"/>
      <c r="U65" s="25"/>
      <c r="V65" s="26"/>
      <c r="W65" s="36"/>
      <c r="X65" s="39"/>
      <c r="Y65" s="37"/>
      <c r="Z65" s="37"/>
      <c r="AA65" s="37"/>
      <c r="AB65" s="38"/>
      <c r="AC65" s="39"/>
      <c r="AD65" s="37"/>
      <c r="AE65" s="40"/>
      <c r="AF65" s="40"/>
      <c r="AG65" s="32" t="str">
        <f t="shared" si="0"/>
        <v/>
      </c>
      <c r="AH65" s="33">
        <f t="shared" si="1"/>
        <v>0</v>
      </c>
      <c r="AI65" s="34" t="str">
        <f>IFERROR(IF(AG65=0,"",VLOOKUP($D65,Суточные!$A$2:$C$13,3,0)),"")</f>
        <v/>
      </c>
      <c r="AJ65" s="35" t="str">
        <f t="shared" si="3"/>
        <v/>
      </c>
    </row>
    <row r="66" spans="1:36" ht="17.25" customHeight="1">
      <c r="A66" s="53"/>
      <c r="B66" s="44"/>
      <c r="C66" s="17" t="str">
        <f>IFERROR(VLOOKUP(B66,Инфо!$A$2:$E$89,4,0),"")</f>
        <v/>
      </c>
      <c r="D66" s="18" t="str">
        <f>IFERROR(VLOOKUP($B66,Инфо!$A$3:$E$91,5,0),"")</f>
        <v/>
      </c>
      <c r="E66" s="19" t="str">
        <f>IFERROR(IF(B66=0,"",IF(O66=U66,CONCATENATE(O66," ",VLOOKUP($A$1,Инфо!$K:$M,3,0)),CONCATENATE(O66,"-",U66," ",VLOOKUP($A$1,Инфо!$K:$M,3,0)))),"")</f>
        <v/>
      </c>
      <c r="F66" s="20"/>
      <c r="G66" s="20"/>
      <c r="H66" s="51" t="str">
        <f>IF(F66="авто",VLOOKUP(G66,'Расстояние между городами'!C:D,2,0),"")</f>
        <v/>
      </c>
      <c r="I66" s="42"/>
      <c r="J66" s="24"/>
      <c r="K66" s="24"/>
      <c r="L66" s="24"/>
      <c r="M66" s="24"/>
      <c r="N66" s="24"/>
      <c r="O66" s="25"/>
      <c r="P66" s="26"/>
      <c r="Q66" s="25"/>
      <c r="R66" s="26"/>
      <c r="S66" s="25"/>
      <c r="T66" s="26"/>
      <c r="U66" s="25"/>
      <c r="V66" s="26"/>
      <c r="W66" s="36"/>
      <c r="X66" s="39"/>
      <c r="Y66" s="37"/>
      <c r="Z66" s="37"/>
      <c r="AA66" s="37"/>
      <c r="AB66" s="38"/>
      <c r="AC66" s="39"/>
      <c r="AD66" s="37"/>
      <c r="AE66" s="40"/>
      <c r="AF66" s="40"/>
      <c r="AG66" s="32" t="str">
        <f t="shared" si="0"/>
        <v/>
      </c>
      <c r="AH66" s="33">
        <f t="shared" si="1"/>
        <v>0</v>
      </c>
      <c r="AI66" s="34" t="str">
        <f>IFERROR(IF(AG66=0,"",VLOOKUP($D66,Суточные!$A$2:$C$13,3,0)),"")</f>
        <v/>
      </c>
      <c r="AJ66" s="35" t="str">
        <f t="shared" si="3"/>
        <v/>
      </c>
    </row>
    <row r="67" spans="1:36" ht="17.25" customHeight="1">
      <c r="A67" s="53"/>
      <c r="B67" s="44"/>
      <c r="C67" s="17" t="str">
        <f>IFERROR(VLOOKUP(B67,Инфо!$A$2:$E$89,4,0),"")</f>
        <v/>
      </c>
      <c r="D67" s="18" t="str">
        <f>IFERROR(VLOOKUP($B67,Инфо!$A$3:$E$91,5,0),"")</f>
        <v/>
      </c>
      <c r="E67" s="19" t="str">
        <f>IFERROR(IF(B67=0,"",IF(O67=U67,CONCATENATE(O67," ",VLOOKUP($A$1,Инфо!$K:$M,3,0)),CONCATENATE(O67,"-",U67," ",VLOOKUP($A$1,Инфо!$K:$M,3,0)))),"")</f>
        <v/>
      </c>
      <c r="F67" s="20"/>
      <c r="G67" s="20"/>
      <c r="H67" s="51" t="str">
        <f>IF(F67="авто",VLOOKUP(G67,'Расстояние между городами'!C:D,2,0),"")</f>
        <v/>
      </c>
      <c r="I67" s="42"/>
      <c r="J67" s="24"/>
      <c r="K67" s="24"/>
      <c r="L67" s="24"/>
      <c r="M67" s="24"/>
      <c r="N67" s="24"/>
      <c r="O67" s="25"/>
      <c r="P67" s="26"/>
      <c r="Q67" s="25"/>
      <c r="R67" s="26"/>
      <c r="S67" s="25"/>
      <c r="T67" s="26"/>
      <c r="U67" s="25"/>
      <c r="V67" s="26"/>
      <c r="W67" s="36"/>
      <c r="X67" s="39"/>
      <c r="Y67" s="37"/>
      <c r="Z67" s="37"/>
      <c r="AA67" s="37"/>
      <c r="AB67" s="38"/>
      <c r="AC67" s="39"/>
      <c r="AD67" s="37"/>
      <c r="AE67" s="40"/>
      <c r="AF67" s="40"/>
      <c r="AG67" s="32" t="str">
        <f t="shared" si="0"/>
        <v/>
      </c>
      <c r="AH67" s="33">
        <f t="shared" si="1"/>
        <v>0</v>
      </c>
      <c r="AI67" s="34" t="str">
        <f>IFERROR(IF(AG67=0,"",VLOOKUP($D67,Суточные!$A$2:$C$13,3,0)),"")</f>
        <v/>
      </c>
      <c r="AJ67" s="35" t="str">
        <f t="shared" si="3"/>
        <v/>
      </c>
    </row>
    <row r="68" spans="1:36" ht="17.25" customHeight="1">
      <c r="A68" s="53"/>
      <c r="B68" s="44"/>
      <c r="C68" s="17" t="str">
        <f>IFERROR(VLOOKUP(B68,Инфо!$A$2:$E$89,4,0),"")</f>
        <v/>
      </c>
      <c r="D68" s="18" t="str">
        <f>IFERROR(VLOOKUP($B68,Инфо!$A$3:$E$91,5,0),"")</f>
        <v/>
      </c>
      <c r="E68" s="19" t="str">
        <f>IFERROR(IF(B68=0,"",IF(O68=U68,CONCATENATE(O68," ",VLOOKUP($A$1,Инфо!$K:$M,3,0)),CONCATENATE(O68,"-",U68," ",VLOOKUP($A$1,Инфо!$K:$M,3,0)))),"")</f>
        <v/>
      </c>
      <c r="F68" s="20"/>
      <c r="G68" s="20"/>
      <c r="H68" s="51" t="str">
        <f>IF(F68="авто",VLOOKUP(G68,'Расстояние между городами'!C:D,2,0),"")</f>
        <v/>
      </c>
      <c r="I68" s="42"/>
      <c r="J68" s="24"/>
      <c r="K68" s="24"/>
      <c r="L68" s="24"/>
      <c r="M68" s="24"/>
      <c r="N68" s="24"/>
      <c r="O68" s="25"/>
      <c r="P68" s="26"/>
      <c r="Q68" s="25"/>
      <c r="R68" s="26"/>
      <c r="S68" s="25"/>
      <c r="T68" s="26"/>
      <c r="U68" s="25"/>
      <c r="V68" s="26"/>
      <c r="W68" s="36"/>
      <c r="X68" s="39"/>
      <c r="Y68" s="37"/>
      <c r="Z68" s="37"/>
      <c r="AA68" s="37"/>
      <c r="AB68" s="38"/>
      <c r="AC68" s="39"/>
      <c r="AD68" s="37"/>
      <c r="AE68" s="40"/>
      <c r="AF68" s="40"/>
      <c r="AG68" s="32" t="str">
        <f t="shared" si="0"/>
        <v/>
      </c>
      <c r="AH68" s="33">
        <f t="shared" si="1"/>
        <v>0</v>
      </c>
      <c r="AI68" s="34" t="str">
        <f>IFERROR(IF(AG68=0,"",VLOOKUP($D68,Суточные!$A$2:$C$13,3,0)),"")</f>
        <v/>
      </c>
      <c r="AJ68" s="35" t="str">
        <f t="shared" si="3"/>
        <v/>
      </c>
    </row>
    <row r="69" spans="1:36" ht="17.25" customHeight="1">
      <c r="A69" s="53"/>
      <c r="B69" s="44"/>
      <c r="C69" s="17" t="str">
        <f>IFERROR(VLOOKUP(B69,Инфо!$A$2:$E$89,4,0),"")</f>
        <v/>
      </c>
      <c r="D69" s="18" t="str">
        <f>IFERROR(VLOOKUP($B69,Инфо!$A$3:$E$91,5,0),"")</f>
        <v/>
      </c>
      <c r="E69" s="19" t="str">
        <f>IFERROR(IF(B69=0,"",IF(O69=U69,CONCATENATE(O69," ",VLOOKUP($A$1,Инфо!$K:$M,3,0)),CONCATENATE(O69,"-",U69," ",VLOOKUP($A$1,Инфо!$K:$M,3,0)))),"")</f>
        <v/>
      </c>
      <c r="F69" s="20"/>
      <c r="G69" s="20"/>
      <c r="H69" s="51" t="str">
        <f>IF(F69="авто",VLOOKUP(G69,'Расстояние между городами'!C:D,2,0),"")</f>
        <v/>
      </c>
      <c r="I69" s="42"/>
      <c r="J69" s="24"/>
      <c r="K69" s="24"/>
      <c r="L69" s="24"/>
      <c r="M69" s="24"/>
      <c r="N69" s="24"/>
      <c r="O69" s="25"/>
      <c r="P69" s="26"/>
      <c r="Q69" s="25"/>
      <c r="R69" s="26"/>
      <c r="S69" s="25"/>
      <c r="T69" s="26"/>
      <c r="U69" s="25"/>
      <c r="V69" s="26"/>
      <c r="W69" s="36"/>
      <c r="X69" s="39"/>
      <c r="Y69" s="37"/>
      <c r="Z69" s="37"/>
      <c r="AA69" s="37"/>
      <c r="AB69" s="38"/>
      <c r="AC69" s="39"/>
      <c r="AD69" s="37"/>
      <c r="AE69" s="40"/>
      <c r="AF69" s="40"/>
      <c r="AG69" s="32" t="str">
        <f t="shared" si="0"/>
        <v/>
      </c>
      <c r="AH69" s="33">
        <f t="shared" si="1"/>
        <v>0</v>
      </c>
      <c r="AI69" s="34" t="str">
        <f>IFERROR(IF(AG69=0,"",VLOOKUP($D69,Суточные!$A$2:$C$13,3,0)),"")</f>
        <v/>
      </c>
      <c r="AJ69" s="35" t="str">
        <f t="shared" si="3"/>
        <v/>
      </c>
    </row>
    <row r="70" spans="1:36" ht="17.25" customHeight="1">
      <c r="A70" s="53"/>
      <c r="B70" s="44"/>
      <c r="C70" s="17" t="str">
        <f>IFERROR(VLOOKUP(B70,Инфо!$A$2:$E$89,4,0),"")</f>
        <v/>
      </c>
      <c r="D70" s="18" t="str">
        <f>IFERROR(VLOOKUP($B70,Инфо!$A$3:$E$91,5,0),"")</f>
        <v/>
      </c>
      <c r="E70" s="19" t="str">
        <f>IFERROR(IF(B70=0,"",IF(O70=U70,CONCATENATE(O70," ",VLOOKUP($A$1,Инфо!$K:$M,3,0)),CONCATENATE(O70,"-",U70," ",VLOOKUP($A$1,Инфо!$K:$M,3,0)))),"")</f>
        <v/>
      </c>
      <c r="F70" s="20"/>
      <c r="G70" s="20"/>
      <c r="H70" s="51" t="str">
        <f>IF(F70="авто",VLOOKUP(G70,'Расстояние между городами'!C:D,2,0),"")</f>
        <v/>
      </c>
      <c r="I70" s="42"/>
      <c r="J70" s="24"/>
      <c r="K70" s="24"/>
      <c r="L70" s="24"/>
      <c r="M70" s="24"/>
      <c r="N70" s="24"/>
      <c r="O70" s="25"/>
      <c r="P70" s="26"/>
      <c r="Q70" s="25"/>
      <c r="R70" s="26"/>
      <c r="S70" s="25"/>
      <c r="T70" s="26"/>
      <c r="U70" s="25"/>
      <c r="V70" s="26"/>
      <c r="W70" s="36"/>
      <c r="X70" s="39"/>
      <c r="Y70" s="37"/>
      <c r="Z70" s="37"/>
      <c r="AA70" s="37"/>
      <c r="AB70" s="38"/>
      <c r="AC70" s="39"/>
      <c r="AD70" s="37"/>
      <c r="AE70" s="40"/>
      <c r="AF70" s="40"/>
      <c r="AG70" s="32" t="str">
        <f t="shared" si="0"/>
        <v/>
      </c>
      <c r="AH70" s="33">
        <f t="shared" si="1"/>
        <v>0</v>
      </c>
      <c r="AI70" s="34" t="str">
        <f>IFERROR(IF(AG70=0,"",VLOOKUP($D70,Суточные!$A$2:$C$13,3,0)),"")</f>
        <v/>
      </c>
      <c r="AJ70" s="35" t="str">
        <f t="shared" si="3"/>
        <v/>
      </c>
    </row>
    <row r="71" spans="1:36" ht="17.25" customHeight="1">
      <c r="A71" s="53"/>
      <c r="B71" s="44"/>
      <c r="C71" s="17" t="str">
        <f>IFERROR(VLOOKUP(B71,Инфо!$A$2:$E$89,4,0),"")</f>
        <v/>
      </c>
      <c r="D71" s="18" t="str">
        <f>IFERROR(VLOOKUP($B71,Инфо!$A$3:$E$91,5,0),"")</f>
        <v/>
      </c>
      <c r="E71" s="19" t="str">
        <f>IFERROR(IF(B71=0,"",IF(O71=U71,CONCATENATE(O71," ",VLOOKUP($A$1,Инфо!$K:$M,3,0)),CONCATENATE(O71,"-",U71," ",VLOOKUP($A$1,Инфо!$K:$M,3,0)))),"")</f>
        <v/>
      </c>
      <c r="F71" s="20"/>
      <c r="G71" s="20"/>
      <c r="H71" s="51" t="str">
        <f>IF(F71="авто",VLOOKUP(G71,'Расстояние между городами'!C:D,2,0),"")</f>
        <v/>
      </c>
      <c r="I71" s="42"/>
      <c r="J71" s="24"/>
      <c r="K71" s="24"/>
      <c r="L71" s="24"/>
      <c r="M71" s="24"/>
      <c r="N71" s="24"/>
      <c r="O71" s="25"/>
      <c r="P71" s="26"/>
      <c r="Q71" s="25"/>
      <c r="R71" s="26"/>
      <c r="S71" s="25"/>
      <c r="T71" s="26"/>
      <c r="U71" s="25"/>
      <c r="V71" s="26"/>
      <c r="W71" s="36"/>
      <c r="X71" s="39"/>
      <c r="Y71" s="37"/>
      <c r="Z71" s="37"/>
      <c r="AA71" s="37"/>
      <c r="AB71" s="38"/>
      <c r="AC71" s="39"/>
      <c r="AD71" s="37"/>
      <c r="AE71" s="40"/>
      <c r="AF71" s="40"/>
      <c r="AG71" s="32" t="str">
        <f t="shared" si="0"/>
        <v/>
      </c>
      <c r="AH71" s="33">
        <f t="shared" si="1"/>
        <v>0</v>
      </c>
      <c r="AI71" s="34" t="str">
        <f>IFERROR(IF(AG71=0,"",VLOOKUP($D71,Суточные!$A$2:$C$13,3,0)),"")</f>
        <v/>
      </c>
      <c r="AJ71" s="35" t="str">
        <f t="shared" si="3"/>
        <v/>
      </c>
    </row>
    <row r="72" spans="1:36" ht="17.25" customHeight="1">
      <c r="A72" s="53" t="s">
        <v>79</v>
      </c>
      <c r="B72" s="44"/>
      <c r="C72" s="17" t="str">
        <f>IFERROR(VLOOKUP(B72,Инфо!$A$2:$E$89,4,0),"")</f>
        <v/>
      </c>
      <c r="D72" s="18" t="str">
        <f>IFERROR(VLOOKUP($B72,Инфо!$A$3:$E$91,5,0),"")</f>
        <v/>
      </c>
      <c r="E72" s="19" t="str">
        <f>IFERROR(IF(B72=0,"",IF(O72=U72,CONCATENATE(O72," ",VLOOKUP($A$1,Инфо!$K:$M,3,0)),CONCATENATE(O72,"-",U72," ",VLOOKUP($A$1,Инфо!$K:$M,3,0)))),"")</f>
        <v/>
      </c>
      <c r="F72" s="20"/>
      <c r="G72" s="20"/>
      <c r="H72" s="51" t="str">
        <f>IF(F72="авто",VLOOKUP(G72,'Расстояние между городами'!C:D,2,0),"")</f>
        <v/>
      </c>
      <c r="I72" s="42"/>
      <c r="J72" s="24"/>
      <c r="K72" s="24"/>
      <c r="L72" s="24"/>
      <c r="M72" s="24"/>
      <c r="N72" s="24"/>
      <c r="O72" s="25"/>
      <c r="P72" s="26"/>
      <c r="Q72" s="25"/>
      <c r="R72" s="26"/>
      <c r="S72" s="25"/>
      <c r="T72" s="26"/>
      <c r="U72" s="25"/>
      <c r="V72" s="26"/>
      <c r="W72" s="36"/>
      <c r="X72" s="39"/>
      <c r="Y72" s="37"/>
      <c r="Z72" s="37"/>
      <c r="AA72" s="37"/>
      <c r="AB72" s="38"/>
      <c r="AC72" s="39"/>
      <c r="AD72" s="37"/>
      <c r="AE72" s="40"/>
      <c r="AF72" s="40"/>
      <c r="AG72" s="32" t="str">
        <f t="shared" si="0"/>
        <v/>
      </c>
      <c r="AH72" s="33">
        <f t="shared" si="1"/>
        <v>0</v>
      </c>
      <c r="AI72" s="34" t="str">
        <f>IFERROR(IF(AG72=0,"",VLOOKUP($D72,Суточные!$A$2:$C$13,3,0)),"")</f>
        <v/>
      </c>
      <c r="AJ72" s="35" t="str">
        <f t="shared" si="3"/>
        <v/>
      </c>
    </row>
    <row r="73" spans="1:36" ht="17.25" customHeight="1">
      <c r="A73" s="53" t="s">
        <v>79</v>
      </c>
      <c r="B73" s="44"/>
      <c r="C73" s="17" t="str">
        <f>IFERROR(VLOOKUP(B73,Инфо!$A$2:$E$89,4,0),"")</f>
        <v/>
      </c>
      <c r="D73" s="18" t="str">
        <f>IFERROR(VLOOKUP($B73,Инфо!$A$3:$E$91,5,0),"")</f>
        <v/>
      </c>
      <c r="E73" s="19" t="str">
        <f>IFERROR(IF(B73=0,"",IF(O73=U73,CONCATENATE(O73," ",VLOOKUP($A$1,Инфо!$K:$M,3,0)),CONCATENATE(O73,"-",U73," ",VLOOKUP($A$1,Инфо!$K:$M,3,0)))),"")</f>
        <v/>
      </c>
      <c r="F73" s="20"/>
      <c r="G73" s="20"/>
      <c r="H73" s="51" t="str">
        <f>IF(F73="авто",VLOOKUP(G73,'Расстояние между городами'!C:D,2,0),"")</f>
        <v/>
      </c>
      <c r="I73" s="42"/>
      <c r="J73" s="24"/>
      <c r="K73" s="24"/>
      <c r="L73" s="24"/>
      <c r="M73" s="24"/>
      <c r="N73" s="24"/>
      <c r="O73" s="25"/>
      <c r="P73" s="26"/>
      <c r="Q73" s="25"/>
      <c r="R73" s="26"/>
      <c r="S73" s="25"/>
      <c r="T73" s="26"/>
      <c r="U73" s="25"/>
      <c r="V73" s="26"/>
      <c r="W73" s="36"/>
      <c r="X73" s="39"/>
      <c r="Y73" s="37"/>
      <c r="Z73" s="37"/>
      <c r="AA73" s="37"/>
      <c r="AB73" s="38"/>
      <c r="AC73" s="39"/>
      <c r="AD73" s="37"/>
      <c r="AE73" s="40"/>
      <c r="AF73" s="40"/>
      <c r="AG73" s="32" t="str">
        <f t="shared" si="0"/>
        <v/>
      </c>
      <c r="AH73" s="33">
        <f t="shared" si="1"/>
        <v>0</v>
      </c>
      <c r="AI73" s="34" t="str">
        <f>IFERROR(IF(AG73=0,"",VLOOKUP($D73,Суточные!$A$2:$C$13,3,0)),"")</f>
        <v/>
      </c>
      <c r="AJ73" s="35" t="str">
        <f t="shared" si="3"/>
        <v/>
      </c>
    </row>
    <row r="74" spans="1:36" ht="17.25" customHeight="1">
      <c r="A74" s="53" t="s">
        <v>79</v>
      </c>
      <c r="B74" s="44"/>
      <c r="C74" s="17" t="str">
        <f>IFERROR(VLOOKUP(B74,Инфо!$A$2:$E$89,4,0),"")</f>
        <v/>
      </c>
      <c r="D74" s="18" t="str">
        <f>IFERROR(VLOOKUP($B74,Инфо!$A$3:$E$91,5,0),"")</f>
        <v/>
      </c>
      <c r="E74" s="19" t="str">
        <f>IFERROR(IF(B74=0,"",IF(O74=U74,CONCATENATE(O74," ",VLOOKUP($A$1,Инфо!$K:$M,3,0)),CONCATENATE(O74,"-",U74," ",VLOOKUP($A$1,Инфо!$K:$M,3,0)))),"")</f>
        <v/>
      </c>
      <c r="F74" s="20"/>
      <c r="G74" s="20"/>
      <c r="H74" s="51" t="str">
        <f>IF(F74="авто",VLOOKUP(G74,'Расстояние между городами'!C:D,2,0),"")</f>
        <v/>
      </c>
      <c r="I74" s="42"/>
      <c r="J74" s="24"/>
      <c r="K74" s="24"/>
      <c r="L74" s="24"/>
      <c r="M74" s="24"/>
      <c r="N74" s="24"/>
      <c r="O74" s="25"/>
      <c r="P74" s="26"/>
      <c r="Q74" s="25"/>
      <c r="R74" s="26"/>
      <c r="S74" s="25"/>
      <c r="T74" s="26"/>
      <c r="U74" s="25"/>
      <c r="V74" s="26"/>
      <c r="W74" s="36"/>
      <c r="X74" s="39"/>
      <c r="Y74" s="37"/>
      <c r="Z74" s="37"/>
      <c r="AA74" s="37"/>
      <c r="AB74" s="38"/>
      <c r="AC74" s="39"/>
      <c r="AD74" s="37"/>
      <c r="AE74" s="40"/>
      <c r="AF74" s="40"/>
      <c r="AG74" s="32" t="str">
        <f t="shared" si="0"/>
        <v/>
      </c>
      <c r="AH74" s="33">
        <f t="shared" si="1"/>
        <v>0</v>
      </c>
      <c r="AI74" s="34" t="str">
        <f>IFERROR(IF(AG74=0,"",VLOOKUP($D74,Суточные!$A$2:$C$13,3,0)),"")</f>
        <v/>
      </c>
      <c r="AJ74" s="35" t="str">
        <f t="shared" si="3"/>
        <v/>
      </c>
    </row>
    <row r="75" spans="1:36" ht="17.25" customHeight="1">
      <c r="A75" s="53" t="s">
        <v>79</v>
      </c>
      <c r="B75" s="44"/>
      <c r="C75" s="17" t="str">
        <f>IFERROR(VLOOKUP(B75,Инфо!$A$2:$E$89,4,0),"")</f>
        <v/>
      </c>
      <c r="D75" s="18" t="str">
        <f>IFERROR(VLOOKUP($B75,Инфо!$A$3:$E$91,5,0),"")</f>
        <v/>
      </c>
      <c r="E75" s="19" t="str">
        <f>IFERROR(IF(B75=0,"",IF(O75=U75,CONCATENATE(O75," ",VLOOKUP($A$1,Инфо!$K:$M,3,0)),CONCATENATE(O75,"-",U75," ",VLOOKUP($A$1,Инфо!$K:$M,3,0)))),"")</f>
        <v/>
      </c>
      <c r="F75" s="20"/>
      <c r="G75" s="20"/>
      <c r="H75" s="51" t="str">
        <f>IF(F75="авто",VLOOKUP(G75,'Расстояние между городами'!C:D,2,0),"")</f>
        <v/>
      </c>
      <c r="I75" s="42"/>
      <c r="J75" s="24"/>
      <c r="K75" s="24"/>
      <c r="L75" s="24"/>
      <c r="M75" s="24"/>
      <c r="N75" s="24"/>
      <c r="O75" s="25"/>
      <c r="P75" s="26"/>
      <c r="Q75" s="25"/>
      <c r="R75" s="26"/>
      <c r="S75" s="25"/>
      <c r="T75" s="26"/>
      <c r="U75" s="25"/>
      <c r="V75" s="26"/>
      <c r="W75" s="36"/>
      <c r="X75" s="39"/>
      <c r="Y75" s="37"/>
      <c r="Z75" s="37"/>
      <c r="AA75" s="37"/>
      <c r="AB75" s="38"/>
      <c r="AC75" s="39"/>
      <c r="AD75" s="37"/>
      <c r="AE75" s="40"/>
      <c r="AF75" s="40"/>
      <c r="AG75" s="32" t="str">
        <f t="shared" si="0"/>
        <v/>
      </c>
      <c r="AH75" s="33">
        <f t="shared" si="1"/>
        <v>0</v>
      </c>
      <c r="AI75" s="34" t="str">
        <f>IFERROR(IF(AG75=0,"",VLOOKUP($D75,Суточные!$A$2:$C$13,3,0)),"")</f>
        <v/>
      </c>
      <c r="AJ75" s="35" t="str">
        <f t="shared" si="3"/>
        <v/>
      </c>
    </row>
    <row r="76" spans="1:36" ht="17.25" customHeight="1">
      <c r="A76" s="53" t="s">
        <v>79</v>
      </c>
      <c r="B76" s="44"/>
      <c r="C76" s="17" t="str">
        <f>IFERROR(VLOOKUP(B76,Инфо!$A$2:$E$89,4,0),"")</f>
        <v/>
      </c>
      <c r="D76" s="18" t="str">
        <f>IFERROR(VLOOKUP($B76,Инфо!$A$3:$E$91,5,0),"")</f>
        <v/>
      </c>
      <c r="E76" s="19" t="str">
        <f>IFERROR(IF(B76=0,"",IF(O76=U76,CONCATENATE(O76," ",VLOOKUP($A$1,Инфо!$K:$M,3,0)),CONCATENATE(O76,"-",U76," ",VLOOKUP($A$1,Инфо!$K:$M,3,0)))),"")</f>
        <v/>
      </c>
      <c r="F76" s="20"/>
      <c r="G76" s="20"/>
      <c r="H76" s="51" t="str">
        <f>IF(F76="авто",VLOOKUP(G76,'Расстояние между городами'!C:D,2,0),"")</f>
        <v/>
      </c>
      <c r="I76" s="42"/>
      <c r="J76" s="24"/>
      <c r="K76" s="24"/>
      <c r="L76" s="24"/>
      <c r="M76" s="24"/>
      <c r="N76" s="24"/>
      <c r="O76" s="25"/>
      <c r="P76" s="26"/>
      <c r="Q76" s="25"/>
      <c r="R76" s="26"/>
      <c r="S76" s="25"/>
      <c r="T76" s="26"/>
      <c r="U76" s="25"/>
      <c r="V76" s="26"/>
      <c r="W76" s="36"/>
      <c r="X76" s="39"/>
      <c r="Y76" s="37"/>
      <c r="Z76" s="37"/>
      <c r="AA76" s="37"/>
      <c r="AB76" s="38"/>
      <c r="AC76" s="39"/>
      <c r="AD76" s="37"/>
      <c r="AE76" s="40"/>
      <c r="AF76" s="40"/>
      <c r="AG76" s="32" t="str">
        <f t="shared" si="0"/>
        <v/>
      </c>
      <c r="AH76" s="33">
        <f t="shared" si="1"/>
        <v>0</v>
      </c>
      <c r="AI76" s="34" t="str">
        <f>IFERROR(IF(AG76=0,"",VLOOKUP($D76,Суточные!$A$2:$C$13,3,0)),"")</f>
        <v/>
      </c>
      <c r="AJ76" s="35" t="str">
        <f t="shared" si="3"/>
        <v/>
      </c>
    </row>
    <row r="77" spans="1:36" ht="17.25" customHeight="1">
      <c r="A77" s="53" t="s">
        <v>79</v>
      </c>
      <c r="B77" s="44"/>
      <c r="C77" s="17" t="str">
        <f>IFERROR(VLOOKUP(B77,Инфо!$A$2:$E$89,4,0),"")</f>
        <v/>
      </c>
      <c r="D77" s="18" t="str">
        <f>IFERROR(VLOOKUP($B77,Инфо!$A$3:$E$91,5,0),"")</f>
        <v/>
      </c>
      <c r="E77" s="19" t="str">
        <f>IFERROR(IF(B77=0,"",IF(O77=U77,CONCATENATE(O77," ",VLOOKUP($A$1,Инфо!$K:$M,3,0)),CONCATENATE(O77,"-",U77," ",VLOOKUP($A$1,Инфо!$K:$M,3,0)))),"")</f>
        <v/>
      </c>
      <c r="F77" s="20"/>
      <c r="G77" s="20"/>
      <c r="H77" s="51" t="str">
        <f>IF(F77="авто",VLOOKUP(G77,'Расстояние между городами'!C:D,2,0),"")</f>
        <v/>
      </c>
      <c r="I77" s="42"/>
      <c r="J77" s="24"/>
      <c r="K77" s="24"/>
      <c r="L77" s="24"/>
      <c r="M77" s="24"/>
      <c r="N77" s="24"/>
      <c r="O77" s="25"/>
      <c r="P77" s="26"/>
      <c r="Q77" s="25"/>
      <c r="R77" s="26"/>
      <c r="S77" s="25"/>
      <c r="T77" s="26"/>
      <c r="U77" s="25"/>
      <c r="V77" s="26"/>
      <c r="W77" s="36"/>
      <c r="X77" s="39"/>
      <c r="Y77" s="37"/>
      <c r="Z77" s="37"/>
      <c r="AA77" s="37"/>
      <c r="AB77" s="38"/>
      <c r="AC77" s="39"/>
      <c r="AD77" s="37"/>
      <c r="AE77" s="40"/>
      <c r="AF77" s="40"/>
      <c r="AG77" s="32" t="str">
        <f t="shared" si="0"/>
        <v/>
      </c>
      <c r="AH77" s="33">
        <f t="shared" si="1"/>
        <v>0</v>
      </c>
      <c r="AI77" s="34" t="str">
        <f>IFERROR(IF(AG77=0,"",VLOOKUP($D77,Суточные!$A$2:$C$13,3,0)),"")</f>
        <v/>
      </c>
      <c r="AJ77" s="35" t="str">
        <f t="shared" si="3"/>
        <v/>
      </c>
    </row>
    <row r="78" spans="1:36" ht="17.25" customHeight="1">
      <c r="A78" s="53" t="s">
        <v>79</v>
      </c>
      <c r="B78" s="44"/>
      <c r="C78" s="17" t="str">
        <f>IFERROR(VLOOKUP(B78,Инфо!$A$2:$E$89,4,0),"")</f>
        <v/>
      </c>
      <c r="D78" s="18" t="str">
        <f>IFERROR(VLOOKUP($B78,Инфо!$A$3:$E$91,5,0),"")</f>
        <v/>
      </c>
      <c r="E78" s="19" t="str">
        <f>IFERROR(IF(B78=0,"",IF(O78=U78,CONCATENATE(O78," ",VLOOKUP($A$1,Инфо!$K:$M,3,0)),CONCATENATE(O78,"-",U78," ",VLOOKUP($A$1,Инфо!$K:$M,3,0)))),"")</f>
        <v/>
      </c>
      <c r="F78" s="20"/>
      <c r="G78" s="20"/>
      <c r="H78" s="51" t="str">
        <f>IF(F78="авто",VLOOKUP(G78,'Расстояние между городами'!C:D,2,0),"")</f>
        <v/>
      </c>
      <c r="I78" s="42"/>
      <c r="J78" s="24"/>
      <c r="K78" s="24"/>
      <c r="L78" s="24"/>
      <c r="M78" s="24"/>
      <c r="N78" s="24"/>
      <c r="O78" s="25"/>
      <c r="P78" s="26"/>
      <c r="Q78" s="25"/>
      <c r="R78" s="26"/>
      <c r="S78" s="25"/>
      <c r="T78" s="26"/>
      <c r="U78" s="25"/>
      <c r="V78" s="26"/>
      <c r="W78" s="36"/>
      <c r="X78" s="39"/>
      <c r="Y78" s="37"/>
      <c r="Z78" s="37"/>
      <c r="AA78" s="37"/>
      <c r="AB78" s="38"/>
      <c r="AC78" s="39"/>
      <c r="AD78" s="37"/>
      <c r="AE78" s="40"/>
      <c r="AF78" s="40"/>
      <c r="AG78" s="32" t="str">
        <f t="shared" si="0"/>
        <v/>
      </c>
      <c r="AH78" s="33">
        <f t="shared" si="1"/>
        <v>0</v>
      </c>
      <c r="AI78" s="34" t="str">
        <f>IFERROR(IF(AG78=0,"",VLOOKUP($D78,Суточные!$A$2:$C$13,3,0)),"")</f>
        <v/>
      </c>
      <c r="AJ78" s="35" t="str">
        <f t="shared" si="3"/>
        <v/>
      </c>
    </row>
    <row r="79" spans="1:36" ht="17.25" customHeight="1">
      <c r="A79" s="53" t="s">
        <v>79</v>
      </c>
      <c r="B79" s="44"/>
      <c r="C79" s="17" t="str">
        <f>IFERROR(VLOOKUP(B79,Инфо!$A$2:$E$89,4,0),"")</f>
        <v/>
      </c>
      <c r="D79" s="18" t="str">
        <f>IFERROR(VLOOKUP($B79,Инфо!$A$3:$E$91,5,0),"")</f>
        <v/>
      </c>
      <c r="E79" s="19" t="str">
        <f>IFERROR(IF(B79=0,"",IF(O79=U79,CONCATENATE(O79," ",VLOOKUP($A$1,Инфо!$K:$M,3,0)),CONCATENATE(O79,"-",U79," ",VLOOKUP($A$1,Инфо!$K:$M,3,0)))),"")</f>
        <v/>
      </c>
      <c r="F79" s="20"/>
      <c r="G79" s="20"/>
      <c r="H79" s="51" t="str">
        <f>IF(F79="авто",VLOOKUP(G79,'Расстояние между городами'!C:D,2,0),"")</f>
        <v/>
      </c>
      <c r="I79" s="42"/>
      <c r="J79" s="24"/>
      <c r="K79" s="24"/>
      <c r="L79" s="24"/>
      <c r="M79" s="24"/>
      <c r="N79" s="24"/>
      <c r="O79" s="25"/>
      <c r="P79" s="26"/>
      <c r="Q79" s="25"/>
      <c r="R79" s="26"/>
      <c r="S79" s="25"/>
      <c r="T79" s="26"/>
      <c r="U79" s="25"/>
      <c r="V79" s="26"/>
      <c r="W79" s="36"/>
      <c r="X79" s="39"/>
      <c r="Y79" s="37"/>
      <c r="Z79" s="37"/>
      <c r="AA79" s="37"/>
      <c r="AB79" s="38"/>
      <c r="AC79" s="39"/>
      <c r="AD79" s="37"/>
      <c r="AE79" s="40"/>
      <c r="AF79" s="40"/>
      <c r="AG79" s="32" t="str">
        <f t="shared" si="0"/>
        <v/>
      </c>
      <c r="AH79" s="33">
        <f t="shared" si="1"/>
        <v>0</v>
      </c>
      <c r="AI79" s="34" t="str">
        <f>IFERROR(IF(AG79=0,"",VLOOKUP($D79,Суточные!$A$2:$C$13,3,0)),"")</f>
        <v/>
      </c>
      <c r="AJ79" s="35" t="str">
        <f t="shared" si="3"/>
        <v/>
      </c>
    </row>
    <row r="80" spans="1:36" ht="17.25" customHeight="1">
      <c r="A80" s="53" t="s">
        <v>79</v>
      </c>
      <c r="B80" s="44"/>
      <c r="C80" s="17" t="str">
        <f>IFERROR(VLOOKUP(B80,Инфо!$A$2:$E$89,4,0),"")</f>
        <v/>
      </c>
      <c r="D80" s="18" t="str">
        <f>IFERROR(VLOOKUP($B80,Инфо!$A$3:$E$91,5,0),"")</f>
        <v/>
      </c>
      <c r="E80" s="19" t="str">
        <f>IFERROR(IF(B80=0,"",IF(O80=U80,CONCATENATE(O80," ",VLOOKUP($A$1,Инфо!$K:$M,3,0)),CONCATENATE(O80,"-",U80," ",VLOOKUP($A$1,Инфо!$K:$M,3,0)))),"")</f>
        <v/>
      </c>
      <c r="F80" s="20"/>
      <c r="G80" s="20"/>
      <c r="H80" s="51" t="str">
        <f>IF(F80="авто",VLOOKUP(G80,'Расстояние между городами'!C:D,2,0),"")</f>
        <v/>
      </c>
      <c r="I80" s="42"/>
      <c r="J80" s="24"/>
      <c r="K80" s="24"/>
      <c r="L80" s="24"/>
      <c r="M80" s="24"/>
      <c r="N80" s="24"/>
      <c r="O80" s="25"/>
      <c r="P80" s="26"/>
      <c r="Q80" s="25"/>
      <c r="R80" s="26"/>
      <c r="S80" s="25"/>
      <c r="T80" s="26"/>
      <c r="U80" s="25"/>
      <c r="V80" s="26"/>
      <c r="W80" s="36"/>
      <c r="X80" s="39"/>
      <c r="Y80" s="37"/>
      <c r="Z80" s="37"/>
      <c r="AA80" s="37"/>
      <c r="AB80" s="38"/>
      <c r="AC80" s="39"/>
      <c r="AD80" s="37"/>
      <c r="AE80" s="40"/>
      <c r="AF80" s="40"/>
      <c r="AG80" s="32" t="str">
        <f t="shared" si="0"/>
        <v/>
      </c>
      <c r="AH80" s="33">
        <f t="shared" si="1"/>
        <v>0</v>
      </c>
      <c r="AI80" s="34" t="str">
        <f>IFERROR(IF(AG80=0,"",VLOOKUP($D80,Суточные!$A$2:$C$13,3,0)),"")</f>
        <v/>
      </c>
      <c r="AJ80" s="35" t="str">
        <f t="shared" si="3"/>
        <v/>
      </c>
    </row>
    <row r="81" spans="1:36" ht="17.25" customHeight="1">
      <c r="A81" s="53" t="s">
        <v>79</v>
      </c>
      <c r="B81" s="44"/>
      <c r="C81" s="17" t="str">
        <f>IFERROR(VLOOKUP(B81,Инфо!$A$2:$E$89,4,0),"")</f>
        <v/>
      </c>
      <c r="D81" s="18" t="str">
        <f>IFERROR(VLOOKUP($B81,Инфо!$A$3:$E$91,5,0),"")</f>
        <v/>
      </c>
      <c r="E81" s="19" t="str">
        <f>IFERROR(IF(B81=0,"",IF(O81=U81,CONCATENATE(O81," ",VLOOKUP($A$1,Инфо!$K:$M,3,0)),CONCATENATE(O81,"-",U81," ",VLOOKUP($A$1,Инфо!$K:$M,3,0)))),"")</f>
        <v/>
      </c>
      <c r="F81" s="20"/>
      <c r="G81" s="20"/>
      <c r="H81" s="51" t="str">
        <f>IF(F81="авто",VLOOKUP(G81,'Расстояние между городами'!C:D,2,0),"")</f>
        <v/>
      </c>
      <c r="I81" s="42"/>
      <c r="J81" s="24"/>
      <c r="K81" s="24"/>
      <c r="L81" s="24"/>
      <c r="M81" s="24"/>
      <c r="N81" s="24"/>
      <c r="O81" s="25"/>
      <c r="P81" s="26"/>
      <c r="Q81" s="25"/>
      <c r="R81" s="26"/>
      <c r="S81" s="25"/>
      <c r="T81" s="26"/>
      <c r="U81" s="25"/>
      <c r="V81" s="26"/>
      <c r="W81" s="36"/>
      <c r="X81" s="39"/>
      <c r="Y81" s="37"/>
      <c r="Z81" s="37"/>
      <c r="AA81" s="37"/>
      <c r="AB81" s="38"/>
      <c r="AC81" s="39"/>
      <c r="AD81" s="37"/>
      <c r="AE81" s="40"/>
      <c r="AF81" s="40"/>
      <c r="AG81" s="32" t="str">
        <f t="shared" si="0"/>
        <v/>
      </c>
      <c r="AH81" s="33">
        <f t="shared" si="1"/>
        <v>0</v>
      </c>
      <c r="AI81" s="34" t="str">
        <f>IFERROR(IF(AG81=0,"",VLOOKUP($D81,Суточные!$A$2:$C$13,3,0)),"")</f>
        <v/>
      </c>
      <c r="AJ81" s="35" t="str">
        <f t="shared" si="3"/>
        <v/>
      </c>
    </row>
    <row r="82" spans="1:36" ht="17.25" customHeight="1">
      <c r="A82" s="53" t="s">
        <v>79</v>
      </c>
      <c r="B82" s="44"/>
      <c r="C82" s="17" t="str">
        <f>IFERROR(VLOOKUP(B82,Инфо!$A$2:$E$89,4,0),"")</f>
        <v/>
      </c>
      <c r="D82" s="18" t="str">
        <f>IFERROR(VLOOKUP($B82,Инфо!$A$3:$E$91,5,0),"")</f>
        <v/>
      </c>
      <c r="E82" s="19" t="str">
        <f>IFERROR(IF(B82=0,"",IF(O82=U82,CONCATENATE(O82," ",VLOOKUP($A$1,Инфо!$K:$M,3,0)),CONCATENATE(O82,"-",U82," ",VLOOKUP($A$1,Инфо!$K:$M,3,0)))),"")</f>
        <v/>
      </c>
      <c r="F82" s="20"/>
      <c r="G82" s="20"/>
      <c r="H82" s="51" t="str">
        <f>IF(F82="авто",VLOOKUP(G82,'Расстояние между городами'!C:D,2,0),"")</f>
        <v/>
      </c>
      <c r="I82" s="42"/>
      <c r="J82" s="24"/>
      <c r="K82" s="24"/>
      <c r="L82" s="24"/>
      <c r="M82" s="24"/>
      <c r="N82" s="24"/>
      <c r="O82" s="25"/>
      <c r="P82" s="26"/>
      <c r="Q82" s="25"/>
      <c r="R82" s="26"/>
      <c r="S82" s="25"/>
      <c r="T82" s="26"/>
      <c r="U82" s="25"/>
      <c r="V82" s="26"/>
      <c r="W82" s="36"/>
      <c r="X82" s="39"/>
      <c r="Y82" s="37"/>
      <c r="Z82" s="37"/>
      <c r="AA82" s="37"/>
      <c r="AB82" s="38"/>
      <c r="AC82" s="39"/>
      <c r="AD82" s="37"/>
      <c r="AE82" s="40"/>
      <c r="AF82" s="40"/>
      <c r="AG82" s="32" t="str">
        <f t="shared" si="0"/>
        <v/>
      </c>
      <c r="AH82" s="33">
        <f t="shared" si="1"/>
        <v>0</v>
      </c>
      <c r="AI82" s="34" t="str">
        <f>IFERROR(IF(AG82=0,"",VLOOKUP($D82,Суточные!$A$2:$C$13,3,0)),"")</f>
        <v/>
      </c>
      <c r="AJ82" s="35" t="str">
        <f t="shared" si="3"/>
        <v/>
      </c>
    </row>
    <row r="83" spans="1:36" ht="17.25" customHeight="1">
      <c r="A83" s="53" t="s">
        <v>79</v>
      </c>
      <c r="B83" s="44"/>
      <c r="C83" s="17" t="str">
        <f>IFERROR(VLOOKUP(B83,Инфо!$A$2:$E$89,4,0),"")</f>
        <v/>
      </c>
      <c r="D83" s="18" t="str">
        <f>IFERROR(VLOOKUP($B83,Инфо!$A$3:$E$91,5,0),"")</f>
        <v/>
      </c>
      <c r="E83" s="19" t="str">
        <f>IFERROR(IF(B83=0,"",IF(O83=U83,CONCATENATE(O83," ",VLOOKUP($A$1,Инфо!$K:$M,3,0)),CONCATENATE(O83,"-",U83," ",VLOOKUP($A$1,Инфо!$K:$M,3,0)))),"")</f>
        <v/>
      </c>
      <c r="F83" s="20"/>
      <c r="G83" s="20"/>
      <c r="H83" s="51" t="str">
        <f>IF(F83="авто",VLOOKUP(G83,'Расстояние между городами'!C:D,2,0),"")</f>
        <v/>
      </c>
      <c r="I83" s="42"/>
      <c r="J83" s="24"/>
      <c r="K83" s="24"/>
      <c r="L83" s="24"/>
      <c r="M83" s="24"/>
      <c r="N83" s="24"/>
      <c r="O83" s="25"/>
      <c r="P83" s="26"/>
      <c r="Q83" s="25"/>
      <c r="R83" s="26"/>
      <c r="S83" s="25"/>
      <c r="T83" s="26"/>
      <c r="U83" s="25"/>
      <c r="V83" s="26"/>
      <c r="W83" s="36"/>
      <c r="X83" s="39"/>
      <c r="Y83" s="37"/>
      <c r="Z83" s="37"/>
      <c r="AA83" s="37"/>
      <c r="AB83" s="38"/>
      <c r="AC83" s="39"/>
      <c r="AD83" s="37"/>
      <c r="AE83" s="40"/>
      <c r="AF83" s="40"/>
      <c r="AG83" s="32" t="str">
        <f t="shared" si="0"/>
        <v/>
      </c>
      <c r="AH83" s="33">
        <f t="shared" si="1"/>
        <v>0</v>
      </c>
      <c r="AI83" s="34" t="str">
        <f>IFERROR(IF(AG83=0,"",VLOOKUP($D83,Суточные!$A$2:$C$13,3,0)),"")</f>
        <v/>
      </c>
      <c r="AJ83" s="35" t="str">
        <f t="shared" si="3"/>
        <v/>
      </c>
    </row>
    <row r="84" spans="1:36" ht="17.25" customHeight="1">
      <c r="A84" s="53" t="s">
        <v>79</v>
      </c>
      <c r="B84" s="44"/>
      <c r="C84" s="17" t="str">
        <f>IFERROR(VLOOKUP(B84,Инфо!$A$2:$E$89,4,0),"")</f>
        <v/>
      </c>
      <c r="D84" s="18" t="str">
        <f>IFERROR(VLOOKUP($B84,Инфо!$A$3:$E$91,5,0),"")</f>
        <v/>
      </c>
      <c r="E84" s="19" t="str">
        <f>IFERROR(IF(B84=0,"",IF(O84=U84,CONCATENATE(O84," ",VLOOKUP($A$1,Инфо!$K:$M,3,0)),CONCATENATE(O84,"-",U84," ",VLOOKUP($A$1,Инфо!$K:$M,3,0)))),"")</f>
        <v/>
      </c>
      <c r="F84" s="20"/>
      <c r="G84" s="20"/>
      <c r="H84" s="51" t="str">
        <f>IF(F84="авто",VLOOKUP(G84,'Расстояние между городами'!C:D,2,0),"")</f>
        <v/>
      </c>
      <c r="I84" s="42"/>
      <c r="J84" s="24"/>
      <c r="K84" s="24"/>
      <c r="L84" s="24"/>
      <c r="M84" s="24"/>
      <c r="N84" s="24"/>
      <c r="O84" s="25"/>
      <c r="P84" s="26"/>
      <c r="Q84" s="25"/>
      <c r="R84" s="26"/>
      <c r="S84" s="25"/>
      <c r="T84" s="26"/>
      <c r="U84" s="25"/>
      <c r="V84" s="26"/>
      <c r="W84" s="36"/>
      <c r="X84" s="39"/>
      <c r="Y84" s="37"/>
      <c r="Z84" s="37"/>
      <c r="AA84" s="37"/>
      <c r="AB84" s="38"/>
      <c r="AC84" s="39"/>
      <c r="AD84" s="37"/>
      <c r="AE84" s="40"/>
      <c r="AF84" s="40"/>
      <c r="AG84" s="32" t="str">
        <f t="shared" si="0"/>
        <v/>
      </c>
      <c r="AH84" s="33">
        <f t="shared" si="1"/>
        <v>0</v>
      </c>
      <c r="AI84" s="34" t="str">
        <f>IFERROR(IF(AG84=0,"",VLOOKUP($D84,Суточные!$A$2:$C$13,3,0)),"")</f>
        <v/>
      </c>
      <c r="AJ84" s="35" t="str">
        <f t="shared" si="3"/>
        <v/>
      </c>
    </row>
    <row r="85" spans="1:36" ht="17.25" customHeight="1">
      <c r="A85" s="53" t="s">
        <v>79</v>
      </c>
      <c r="B85" s="44"/>
      <c r="C85" s="17" t="str">
        <f>IFERROR(VLOOKUP(B85,Инфо!$A$2:$E$89,4,0),"")</f>
        <v/>
      </c>
      <c r="D85" s="18" t="str">
        <f>IFERROR(VLOOKUP($B85,Инфо!$A$3:$E$91,5,0),"")</f>
        <v/>
      </c>
      <c r="E85" s="19" t="str">
        <f>IFERROR(IF(B85=0,"",IF(O85=U85,CONCATENATE(O85," ",VLOOKUP($A$1,Инфо!$K:$M,3,0)),CONCATENATE(O85,"-",U85," ",VLOOKUP($A$1,Инфо!$K:$M,3,0)))),"")</f>
        <v/>
      </c>
      <c r="F85" s="20"/>
      <c r="G85" s="20"/>
      <c r="H85" s="51" t="str">
        <f>IF(F85="авто",VLOOKUP(G85,'Расстояние между городами'!C:D,2,0),"")</f>
        <v/>
      </c>
      <c r="I85" s="42"/>
      <c r="J85" s="24"/>
      <c r="K85" s="24"/>
      <c r="L85" s="24"/>
      <c r="M85" s="24"/>
      <c r="N85" s="24"/>
      <c r="O85" s="25"/>
      <c r="P85" s="26"/>
      <c r="Q85" s="25"/>
      <c r="R85" s="26"/>
      <c r="S85" s="25"/>
      <c r="T85" s="26"/>
      <c r="U85" s="25"/>
      <c r="V85" s="26"/>
      <c r="W85" s="36"/>
      <c r="X85" s="39"/>
      <c r="Y85" s="37"/>
      <c r="Z85" s="37"/>
      <c r="AA85" s="37"/>
      <c r="AB85" s="38"/>
      <c r="AC85" s="39"/>
      <c r="AD85" s="37"/>
      <c r="AE85" s="40"/>
      <c r="AF85" s="40"/>
      <c r="AG85" s="32" t="str">
        <f t="shared" si="0"/>
        <v/>
      </c>
      <c r="AH85" s="33">
        <f t="shared" si="1"/>
        <v>0</v>
      </c>
      <c r="AI85" s="34" t="str">
        <f>IFERROR(IF(AG85=0,"",VLOOKUP($D85,Суточные!$A$2:$C$13,3,0)),"")</f>
        <v/>
      </c>
      <c r="AJ85" s="35" t="str">
        <f t="shared" si="3"/>
        <v/>
      </c>
    </row>
    <row r="86" spans="1:36" ht="17.25" customHeight="1">
      <c r="A86" s="53" t="s">
        <v>79</v>
      </c>
      <c r="B86" s="44"/>
      <c r="C86" s="17" t="str">
        <f>IFERROR(VLOOKUP(B86,Инфо!$A$2:$E$89,4,0),"")</f>
        <v/>
      </c>
      <c r="D86" s="18" t="str">
        <f>IFERROR(VLOOKUP($B86,Инфо!$A$3:$E$91,5,0),"")</f>
        <v/>
      </c>
      <c r="E86" s="19" t="str">
        <f>IFERROR(IF(B86=0,"",IF(O86=U86,CONCATENATE(O86," ",VLOOKUP($A$1,Инфо!$K:$M,3,0)),CONCATENATE(O86,"-",U86," ",VLOOKUP($A$1,Инфо!$K:$M,3,0)))),"")</f>
        <v/>
      </c>
      <c r="F86" s="20"/>
      <c r="G86" s="20"/>
      <c r="H86" s="51" t="str">
        <f>IF(F86="авто",VLOOKUP(G86,'Расстояние между городами'!C:D,2,0),"")</f>
        <v/>
      </c>
      <c r="I86" s="42"/>
      <c r="J86" s="24"/>
      <c r="K86" s="24"/>
      <c r="L86" s="24"/>
      <c r="M86" s="24"/>
      <c r="N86" s="24"/>
      <c r="O86" s="25"/>
      <c r="P86" s="26"/>
      <c r="Q86" s="25"/>
      <c r="R86" s="26"/>
      <c r="S86" s="25"/>
      <c r="T86" s="26"/>
      <c r="U86" s="25"/>
      <c r="V86" s="26"/>
      <c r="W86" s="36"/>
      <c r="X86" s="39"/>
      <c r="Y86" s="37"/>
      <c r="Z86" s="37"/>
      <c r="AA86" s="37"/>
      <c r="AB86" s="38"/>
      <c r="AC86" s="39"/>
      <c r="AD86" s="37"/>
      <c r="AE86" s="40"/>
      <c r="AF86" s="40"/>
      <c r="AG86" s="32" t="str">
        <f t="shared" si="0"/>
        <v/>
      </c>
      <c r="AH86" s="33">
        <f t="shared" si="1"/>
        <v>0</v>
      </c>
      <c r="AI86" s="34" t="str">
        <f>IFERROR(IF(AG86=0,"",VLOOKUP($D86,Суточные!$A$2:$C$13,3,0)),"")</f>
        <v/>
      </c>
      <c r="AJ86" s="35" t="str">
        <f t="shared" si="3"/>
        <v/>
      </c>
    </row>
    <row r="87" spans="1:36" ht="17.25" customHeight="1">
      <c r="A87" s="53" t="s">
        <v>79</v>
      </c>
      <c r="B87" s="44"/>
      <c r="C87" s="17" t="str">
        <f>IFERROR(VLOOKUP(B87,Инфо!$A$2:$E$89,4,0),"")</f>
        <v/>
      </c>
      <c r="D87" s="18" t="str">
        <f>IFERROR(VLOOKUP($B87,Инфо!$A$3:$E$91,5,0),"")</f>
        <v/>
      </c>
      <c r="E87" s="19" t="str">
        <f>IFERROR(IF(B87=0,"",IF(O87=U87,CONCATENATE(O87," ",VLOOKUP($A$1,Инфо!$K:$M,3,0)),CONCATENATE(O87,"-",U87," ",VLOOKUP($A$1,Инфо!$K:$M,3,0)))),"")</f>
        <v/>
      </c>
      <c r="F87" s="20"/>
      <c r="G87" s="20"/>
      <c r="H87" s="51" t="str">
        <f>IF(F87="авто",VLOOKUP(G87,'Расстояние между городами'!C:D,2,0),"")</f>
        <v/>
      </c>
      <c r="I87" s="42"/>
      <c r="J87" s="24"/>
      <c r="K87" s="24"/>
      <c r="L87" s="24"/>
      <c r="M87" s="24"/>
      <c r="N87" s="24"/>
      <c r="O87" s="25"/>
      <c r="P87" s="26"/>
      <c r="Q87" s="25"/>
      <c r="R87" s="26"/>
      <c r="S87" s="25"/>
      <c r="T87" s="26"/>
      <c r="U87" s="25"/>
      <c r="V87" s="26"/>
      <c r="W87" s="36"/>
      <c r="X87" s="39"/>
      <c r="Y87" s="37"/>
      <c r="Z87" s="37"/>
      <c r="AA87" s="37"/>
      <c r="AB87" s="38"/>
      <c r="AC87" s="39"/>
      <c r="AD87" s="37"/>
      <c r="AE87" s="40"/>
      <c r="AF87" s="40"/>
      <c r="AG87" s="32" t="str">
        <f t="shared" si="0"/>
        <v/>
      </c>
      <c r="AH87" s="33">
        <f t="shared" si="1"/>
        <v>0</v>
      </c>
      <c r="AI87" s="34" t="str">
        <f>IFERROR(IF(AG87=0,"",VLOOKUP($D87,Суточные!$A$2:$C$13,3,0)),"")</f>
        <v/>
      </c>
      <c r="AJ87" s="35" t="str">
        <f t="shared" si="3"/>
        <v/>
      </c>
    </row>
    <row r="88" spans="1:36" ht="17.25" customHeight="1">
      <c r="A88" s="53" t="s">
        <v>79</v>
      </c>
      <c r="B88" s="44"/>
      <c r="C88" s="17" t="str">
        <f>IFERROR(VLOOKUP(B88,Инфо!$A$2:$E$89,4,0),"")</f>
        <v/>
      </c>
      <c r="D88" s="18" t="str">
        <f>IFERROR(VLOOKUP($B88,Инфо!$A$3:$E$91,5,0),"")</f>
        <v/>
      </c>
      <c r="E88" s="19" t="str">
        <f>IFERROR(IF(B88=0,"",IF(O88=U88,CONCATENATE(O88," ",VLOOKUP($A$1,Инфо!$K:$M,3,0)),CONCATENATE(O88,"-",U88," ",VLOOKUP($A$1,Инфо!$K:$M,3,0)))),"")</f>
        <v/>
      </c>
      <c r="F88" s="20"/>
      <c r="G88" s="20"/>
      <c r="H88" s="51" t="str">
        <f>IF(F88="авто",VLOOKUP(G88,'Расстояние между городами'!C:D,2,0),"")</f>
        <v/>
      </c>
      <c r="I88" s="42"/>
      <c r="J88" s="24"/>
      <c r="K88" s="24"/>
      <c r="L88" s="24"/>
      <c r="M88" s="24"/>
      <c r="N88" s="24"/>
      <c r="O88" s="25"/>
      <c r="P88" s="26"/>
      <c r="Q88" s="25"/>
      <c r="R88" s="26"/>
      <c r="S88" s="25"/>
      <c r="T88" s="26"/>
      <c r="U88" s="25"/>
      <c r="V88" s="26"/>
      <c r="W88" s="36"/>
      <c r="X88" s="39"/>
      <c r="Y88" s="37"/>
      <c r="Z88" s="37"/>
      <c r="AA88" s="37"/>
      <c r="AB88" s="38"/>
      <c r="AC88" s="39"/>
      <c r="AD88" s="37"/>
      <c r="AE88" s="40"/>
      <c r="AF88" s="40"/>
      <c r="AG88" s="32" t="str">
        <f t="shared" si="0"/>
        <v/>
      </c>
      <c r="AH88" s="33">
        <f t="shared" si="1"/>
        <v>0</v>
      </c>
      <c r="AI88" s="34" t="str">
        <f>IFERROR(IF(AG88=0,"",VLOOKUP($D88,Суточные!$A$2:$C$13,3,0)),"")</f>
        <v/>
      </c>
      <c r="AJ88" s="35" t="str">
        <f t="shared" si="3"/>
        <v/>
      </c>
    </row>
    <row r="89" spans="1:36" ht="17.25" customHeight="1">
      <c r="A89" s="53" t="s">
        <v>79</v>
      </c>
      <c r="B89" s="44"/>
      <c r="C89" s="17" t="str">
        <f>IFERROR(VLOOKUP(B89,Инфо!$A$2:$E$89,4,0),"")</f>
        <v/>
      </c>
      <c r="D89" s="18" t="str">
        <f>IFERROR(VLOOKUP($B89,Инфо!$A$3:$E$91,5,0),"")</f>
        <v/>
      </c>
      <c r="E89" s="19" t="str">
        <f>IFERROR(IF(B89=0,"",IF(O89=U89,CONCATENATE(O89," ",VLOOKUP($A$1,Инфо!$K:$M,3,0)),CONCATENATE(O89,"-",U89," ",VLOOKUP($A$1,Инфо!$K:$M,3,0)))),"")</f>
        <v/>
      </c>
      <c r="F89" s="20"/>
      <c r="G89" s="20"/>
      <c r="H89" s="51" t="str">
        <f>IF(F89="авто",VLOOKUP(G89,'Расстояние между городами'!C:D,2,0),"")</f>
        <v/>
      </c>
      <c r="I89" s="42"/>
      <c r="J89" s="24"/>
      <c r="K89" s="24"/>
      <c r="L89" s="24"/>
      <c r="M89" s="24"/>
      <c r="N89" s="24"/>
      <c r="O89" s="25"/>
      <c r="P89" s="26"/>
      <c r="Q89" s="25"/>
      <c r="R89" s="26"/>
      <c r="S89" s="25"/>
      <c r="T89" s="26"/>
      <c r="U89" s="25"/>
      <c r="V89" s="26"/>
      <c r="W89" s="36"/>
      <c r="X89" s="39"/>
      <c r="Y89" s="37"/>
      <c r="Z89" s="37"/>
      <c r="AA89" s="37"/>
      <c r="AB89" s="38"/>
      <c r="AC89" s="39"/>
      <c r="AD89" s="37"/>
      <c r="AE89" s="40"/>
      <c r="AF89" s="40"/>
      <c r="AG89" s="32" t="str">
        <f t="shared" si="0"/>
        <v/>
      </c>
      <c r="AH89" s="33">
        <f t="shared" si="1"/>
        <v>0</v>
      </c>
      <c r="AI89" s="34" t="str">
        <f>IFERROR(IF(AG89=0,"",VLOOKUP($D89,Суточные!$A$2:$C$13,3,0)),"")</f>
        <v/>
      </c>
      <c r="AJ89" s="35" t="str">
        <f t="shared" si="3"/>
        <v/>
      </c>
    </row>
    <row r="90" spans="1:36" ht="17.25" customHeight="1">
      <c r="A90" s="53" t="s">
        <v>79</v>
      </c>
      <c r="B90" s="44"/>
      <c r="C90" s="17" t="str">
        <f>IFERROR(VLOOKUP(B90,Инфо!$A$2:$E$89,4,0),"")</f>
        <v/>
      </c>
      <c r="D90" s="18" t="str">
        <f>IFERROR(VLOOKUP($B90,Инфо!$A$3:$E$91,5,0),"")</f>
        <v/>
      </c>
      <c r="E90" s="19" t="str">
        <f>IFERROR(IF(B90=0,"",IF(O90=U90,CONCATENATE(O90," ",VLOOKUP($A$1,Инфо!$K:$M,3,0)),CONCATENATE(O90,"-",U90," ",VLOOKUP($A$1,Инфо!$K:$M,3,0)))),"")</f>
        <v/>
      </c>
      <c r="F90" s="20"/>
      <c r="G90" s="20"/>
      <c r="H90" s="51" t="str">
        <f>IF(F90="авто",VLOOKUP(G90,'Расстояние между городами'!C:D,2,0),"")</f>
        <v/>
      </c>
      <c r="I90" s="42"/>
      <c r="J90" s="24"/>
      <c r="K90" s="24"/>
      <c r="L90" s="24"/>
      <c r="M90" s="24"/>
      <c r="N90" s="24"/>
      <c r="O90" s="25"/>
      <c r="P90" s="26"/>
      <c r="Q90" s="25"/>
      <c r="R90" s="26"/>
      <c r="S90" s="25"/>
      <c r="T90" s="26"/>
      <c r="U90" s="25"/>
      <c r="V90" s="26"/>
      <c r="W90" s="36"/>
      <c r="X90" s="39"/>
      <c r="Y90" s="37"/>
      <c r="Z90" s="37"/>
      <c r="AA90" s="37"/>
      <c r="AB90" s="38"/>
      <c r="AC90" s="39"/>
      <c r="AD90" s="37"/>
      <c r="AE90" s="40"/>
      <c r="AF90" s="40"/>
      <c r="AG90" s="32" t="str">
        <f t="shared" si="0"/>
        <v/>
      </c>
      <c r="AH90" s="33">
        <f t="shared" si="1"/>
        <v>0</v>
      </c>
      <c r="AI90" s="34" t="str">
        <f>IFERROR(IF(AG90=0,"",VLOOKUP($D90,Суточные!$A$2:$C$13,3,0)),"")</f>
        <v/>
      </c>
      <c r="AJ90" s="35" t="str">
        <f t="shared" si="3"/>
        <v/>
      </c>
    </row>
    <row r="91" spans="1:36" ht="17.25" customHeight="1">
      <c r="A91" s="53" t="s">
        <v>79</v>
      </c>
      <c r="B91" s="44"/>
      <c r="C91" s="17" t="str">
        <f>IFERROR(VLOOKUP(B91,Инфо!$A$2:$E$89,4,0),"")</f>
        <v/>
      </c>
      <c r="D91" s="18" t="str">
        <f>IFERROR(VLOOKUP($B91,Инфо!$A$3:$E$91,5,0),"")</f>
        <v/>
      </c>
      <c r="E91" s="19" t="str">
        <f>IFERROR(IF(B91=0,"",IF(O91=U91,CONCATENATE(O91," ",VLOOKUP($A$1,Инфо!$K:$M,3,0)),CONCATENATE(O91,"-",U91," ",VLOOKUP($A$1,Инфо!$K:$M,3,0)))),"")</f>
        <v/>
      </c>
      <c r="F91" s="20"/>
      <c r="G91" s="20"/>
      <c r="H91" s="51" t="str">
        <f>IF(F91="авто",VLOOKUP(G91,'Расстояние между городами'!C:D,2,0),"")</f>
        <v/>
      </c>
      <c r="I91" s="42"/>
      <c r="J91" s="24"/>
      <c r="K91" s="24"/>
      <c r="L91" s="24"/>
      <c r="M91" s="24"/>
      <c r="N91" s="24"/>
      <c r="O91" s="25"/>
      <c r="P91" s="26"/>
      <c r="Q91" s="25"/>
      <c r="R91" s="26"/>
      <c r="S91" s="25"/>
      <c r="T91" s="26"/>
      <c r="U91" s="25"/>
      <c r="V91" s="26"/>
      <c r="W91" s="36"/>
      <c r="X91" s="39"/>
      <c r="Y91" s="37"/>
      <c r="Z91" s="37"/>
      <c r="AA91" s="37"/>
      <c r="AB91" s="38"/>
      <c r="AC91" s="39"/>
      <c r="AD91" s="37"/>
      <c r="AE91" s="40"/>
      <c r="AF91" s="40"/>
      <c r="AG91" s="32" t="str">
        <f t="shared" si="0"/>
        <v/>
      </c>
      <c r="AH91" s="33">
        <f t="shared" si="1"/>
        <v>0</v>
      </c>
      <c r="AI91" s="34" t="str">
        <f>IFERROR(IF(AG91=0,"",VLOOKUP($D91,Суточные!$A$2:$C$13,3,0)),"")</f>
        <v/>
      </c>
      <c r="AJ91" s="35" t="str">
        <f t="shared" si="3"/>
        <v/>
      </c>
    </row>
    <row r="92" spans="1:36" ht="17.25" customHeight="1">
      <c r="A92" s="53" t="s">
        <v>79</v>
      </c>
      <c r="B92" s="44"/>
      <c r="C92" s="17" t="str">
        <f>IFERROR(VLOOKUP(B92,Инфо!$A$2:$E$89,4,0),"")</f>
        <v/>
      </c>
      <c r="D92" s="18" t="str">
        <f>IFERROR(VLOOKUP($B92,Инфо!$A$3:$E$91,5,0),"")</f>
        <v/>
      </c>
      <c r="E92" s="19" t="str">
        <f>IFERROR(IF(B92=0,"",IF(O92=U92,CONCATENATE(O92," ",VLOOKUP($A$1,Инфо!$K:$M,3,0)),CONCATENATE(O92,"-",U92," ",VLOOKUP($A$1,Инфо!$K:$M,3,0)))),"")</f>
        <v/>
      </c>
      <c r="F92" s="20"/>
      <c r="G92" s="20"/>
      <c r="H92" s="51" t="str">
        <f>IF(F92="авто",VLOOKUP(G92,'Расстояние между городами'!C:D,2,0),"")</f>
        <v/>
      </c>
      <c r="I92" s="42"/>
      <c r="J92" s="24"/>
      <c r="K92" s="24"/>
      <c r="L92" s="24"/>
      <c r="M92" s="24"/>
      <c r="N92" s="24"/>
      <c r="O92" s="25"/>
      <c r="P92" s="26"/>
      <c r="Q92" s="25"/>
      <c r="R92" s="26"/>
      <c r="S92" s="25"/>
      <c r="T92" s="26"/>
      <c r="U92" s="25"/>
      <c r="V92" s="26"/>
      <c r="W92" s="36"/>
      <c r="X92" s="39"/>
      <c r="Y92" s="37"/>
      <c r="Z92" s="37"/>
      <c r="AA92" s="37"/>
      <c r="AB92" s="38"/>
      <c r="AC92" s="39"/>
      <c r="AD92" s="37"/>
      <c r="AE92" s="40"/>
      <c r="AF92" s="40"/>
      <c r="AG92" s="32" t="str">
        <f t="shared" si="0"/>
        <v/>
      </c>
      <c r="AH92" s="33">
        <f t="shared" si="1"/>
        <v>0</v>
      </c>
      <c r="AI92" s="34" t="str">
        <f>IFERROR(IF(AG92=0,"",VLOOKUP($D92,Суточные!$A$2:$C$13,3,0)),"")</f>
        <v/>
      </c>
      <c r="AJ92" s="35" t="str">
        <f t="shared" si="3"/>
        <v/>
      </c>
    </row>
    <row r="93" spans="1:36" ht="17.25" customHeight="1">
      <c r="A93" s="53" t="s">
        <v>79</v>
      </c>
      <c r="B93" s="44"/>
      <c r="C93" s="17" t="str">
        <f>IFERROR(VLOOKUP(B93,Инфо!$A$2:$E$89,4,0),"")</f>
        <v/>
      </c>
      <c r="D93" s="18" t="str">
        <f>IFERROR(VLOOKUP($B93,Инфо!$A$3:$E$91,5,0),"")</f>
        <v/>
      </c>
      <c r="E93" s="19" t="str">
        <f>IFERROR(IF(B93=0,"",IF(O93=U93,CONCATENATE(O93," ",VLOOKUP($A$1,Инфо!$K:$M,3,0)),CONCATENATE(O93,"-",U93," ",VLOOKUP($A$1,Инфо!$K:$M,3,0)))),"")</f>
        <v/>
      </c>
      <c r="F93" s="20"/>
      <c r="G93" s="20"/>
      <c r="H93" s="51" t="str">
        <f>IF(F93="авто",VLOOKUP(G93,'Расстояние между городами'!C:D,2,0),"")</f>
        <v/>
      </c>
      <c r="I93" s="42"/>
      <c r="J93" s="24"/>
      <c r="K93" s="24"/>
      <c r="L93" s="24"/>
      <c r="M93" s="24"/>
      <c r="N93" s="24"/>
      <c r="O93" s="25"/>
      <c r="P93" s="26"/>
      <c r="Q93" s="25"/>
      <c r="R93" s="26"/>
      <c r="S93" s="25"/>
      <c r="T93" s="26"/>
      <c r="U93" s="25"/>
      <c r="V93" s="26"/>
      <c r="W93" s="36"/>
      <c r="X93" s="39"/>
      <c r="Y93" s="37"/>
      <c r="Z93" s="37"/>
      <c r="AA93" s="37"/>
      <c r="AB93" s="38"/>
      <c r="AC93" s="39"/>
      <c r="AD93" s="37"/>
      <c r="AE93" s="40"/>
      <c r="AF93" s="40"/>
      <c r="AG93" s="32" t="str">
        <f t="shared" si="0"/>
        <v/>
      </c>
      <c r="AH93" s="33">
        <f t="shared" si="1"/>
        <v>0</v>
      </c>
      <c r="AI93" s="34" t="str">
        <f>IFERROR(IF(AG93=0,"",VLOOKUP($D93,Суточные!$A$2:$C$13,3,0)),"")</f>
        <v/>
      </c>
      <c r="AJ93" s="35" t="str">
        <f t="shared" si="3"/>
        <v/>
      </c>
    </row>
    <row r="94" spans="1:36" ht="17.25" customHeight="1">
      <c r="A94" s="53" t="s">
        <v>79</v>
      </c>
      <c r="B94" s="44"/>
      <c r="C94" s="17" t="str">
        <f>IFERROR(VLOOKUP(B94,Инфо!$A$2:$E$89,4,0),"")</f>
        <v/>
      </c>
      <c r="D94" s="18" t="str">
        <f>IFERROR(VLOOKUP($B94,Инфо!$A$3:$E$91,5,0),"")</f>
        <v/>
      </c>
      <c r="E94" s="19" t="str">
        <f>IFERROR(IF(B94=0,"",IF(O94=U94,CONCATENATE(O94," ",VLOOKUP($A$1,Инфо!$K:$M,3,0)),CONCATENATE(O94,"-",U94," ",VLOOKUP($A$1,Инфо!$K:$M,3,0)))),"")</f>
        <v/>
      </c>
      <c r="F94" s="20"/>
      <c r="G94" s="20"/>
      <c r="H94" s="51" t="str">
        <f>IF(F94="авто",VLOOKUP(G94,'Расстояние между городами'!C:D,2,0),"")</f>
        <v/>
      </c>
      <c r="I94" s="42"/>
      <c r="J94" s="24"/>
      <c r="K94" s="24"/>
      <c r="L94" s="24"/>
      <c r="M94" s="24"/>
      <c r="N94" s="24"/>
      <c r="O94" s="25"/>
      <c r="P94" s="26"/>
      <c r="Q94" s="25"/>
      <c r="R94" s="26"/>
      <c r="S94" s="25"/>
      <c r="T94" s="26"/>
      <c r="U94" s="25"/>
      <c r="V94" s="26"/>
      <c r="W94" s="36"/>
      <c r="X94" s="39"/>
      <c r="Y94" s="37"/>
      <c r="Z94" s="37"/>
      <c r="AA94" s="37"/>
      <c r="AB94" s="38"/>
      <c r="AC94" s="39"/>
      <c r="AD94" s="37"/>
      <c r="AE94" s="40"/>
      <c r="AF94" s="40"/>
      <c r="AG94" s="32" t="str">
        <f t="shared" si="0"/>
        <v/>
      </c>
      <c r="AH94" s="33">
        <f t="shared" si="1"/>
        <v>0</v>
      </c>
      <c r="AI94" s="34" t="str">
        <f>IFERROR(IF(AG94=0,"",VLOOKUP($D94,Суточные!$A$2:$C$13,3,0)),"")</f>
        <v/>
      </c>
      <c r="AJ94" s="35" t="str">
        <f t="shared" si="3"/>
        <v/>
      </c>
    </row>
    <row r="95" spans="1:36" ht="17.25" customHeight="1">
      <c r="A95" s="53" t="s">
        <v>79</v>
      </c>
      <c r="B95" s="44"/>
      <c r="C95" s="17" t="str">
        <f>IFERROR(VLOOKUP(B95,Инфо!$A$2:$E$89,4,0),"")</f>
        <v/>
      </c>
      <c r="D95" s="18" t="str">
        <f>IFERROR(VLOOKUP($B95,Инфо!$A$3:$E$91,5,0),"")</f>
        <v/>
      </c>
      <c r="E95" s="19" t="str">
        <f>IFERROR(IF(B95=0,"",IF(O95=U95,CONCATENATE(O95," ",VLOOKUP($A$1,Инфо!$K:$M,3,0)),CONCATENATE(O95,"-",U95," ",VLOOKUP($A$1,Инфо!$K:$M,3,0)))),"")</f>
        <v/>
      </c>
      <c r="F95" s="20"/>
      <c r="G95" s="20"/>
      <c r="H95" s="51" t="str">
        <f>IF(F95="авто",VLOOKUP(G95,'Расстояние между городами'!C:D,2,0),"")</f>
        <v/>
      </c>
      <c r="I95" s="42"/>
      <c r="J95" s="24"/>
      <c r="K95" s="24"/>
      <c r="L95" s="24"/>
      <c r="M95" s="24"/>
      <c r="N95" s="24"/>
      <c r="O95" s="25"/>
      <c r="P95" s="26"/>
      <c r="Q95" s="25"/>
      <c r="R95" s="26"/>
      <c r="S95" s="25"/>
      <c r="T95" s="26"/>
      <c r="U95" s="25"/>
      <c r="V95" s="26"/>
      <c r="W95" s="36"/>
      <c r="X95" s="39"/>
      <c r="Y95" s="37"/>
      <c r="Z95" s="37"/>
      <c r="AA95" s="37"/>
      <c r="AB95" s="38"/>
      <c r="AC95" s="39"/>
      <c r="AD95" s="37"/>
      <c r="AE95" s="40"/>
      <c r="AF95" s="40"/>
      <c r="AG95" s="32" t="str">
        <f t="shared" si="0"/>
        <v/>
      </c>
      <c r="AH95" s="33">
        <f t="shared" si="1"/>
        <v>0</v>
      </c>
      <c r="AI95" s="34" t="str">
        <f>IFERROR(IF(AG95=0,"",VLOOKUP($D95,Суточные!$A$2:$C$13,3,0)),"")</f>
        <v/>
      </c>
      <c r="AJ95" s="35" t="str">
        <f t="shared" si="3"/>
        <v/>
      </c>
    </row>
    <row r="96" spans="1:36" ht="17.25" customHeight="1">
      <c r="A96" s="53" t="s">
        <v>79</v>
      </c>
      <c r="B96" s="44"/>
      <c r="C96" s="17" t="str">
        <f>IFERROR(VLOOKUP(B96,Инфо!$A$2:$E$89,4,0),"")</f>
        <v/>
      </c>
      <c r="D96" s="18" t="str">
        <f>IFERROR(VLOOKUP($B96,Инфо!$A$3:$E$91,5,0),"")</f>
        <v/>
      </c>
      <c r="E96" s="19" t="str">
        <f>IFERROR(IF(B96=0,"",IF(O96=U96,CONCATENATE(O96," ",VLOOKUP($A$1,Инфо!$K:$M,3,0)),CONCATENATE(O96,"-",U96," ",VLOOKUP($A$1,Инфо!$K:$M,3,0)))),"")</f>
        <v/>
      </c>
      <c r="F96" s="20"/>
      <c r="G96" s="20"/>
      <c r="H96" s="51" t="str">
        <f>IF(F96="авто",VLOOKUP(G96,'Расстояние между городами'!C:D,2,0),"")</f>
        <v/>
      </c>
      <c r="I96" s="42"/>
      <c r="J96" s="24"/>
      <c r="K96" s="24"/>
      <c r="L96" s="24"/>
      <c r="M96" s="24"/>
      <c r="N96" s="24"/>
      <c r="O96" s="25"/>
      <c r="P96" s="26"/>
      <c r="Q96" s="25"/>
      <c r="R96" s="26"/>
      <c r="S96" s="25"/>
      <c r="T96" s="26"/>
      <c r="U96" s="25"/>
      <c r="V96" s="26"/>
      <c r="W96" s="36"/>
      <c r="X96" s="39"/>
      <c r="Y96" s="37"/>
      <c r="Z96" s="37"/>
      <c r="AA96" s="37"/>
      <c r="AB96" s="38"/>
      <c r="AC96" s="39"/>
      <c r="AD96" s="37"/>
      <c r="AE96" s="40"/>
      <c r="AF96" s="40"/>
      <c r="AG96" s="32" t="str">
        <f t="shared" si="0"/>
        <v/>
      </c>
      <c r="AH96" s="33">
        <f t="shared" si="1"/>
        <v>0</v>
      </c>
      <c r="AI96" s="34" t="str">
        <f>IFERROR(IF(AG96=0,"",VLOOKUP($D96,Суточные!$A$2:$C$13,3,0)),"")</f>
        <v/>
      </c>
      <c r="AJ96" s="35" t="str">
        <f t="shared" si="3"/>
        <v/>
      </c>
    </row>
    <row r="97" spans="1:36" ht="17.25" customHeight="1">
      <c r="A97" s="53" t="s">
        <v>79</v>
      </c>
      <c r="B97" s="44"/>
      <c r="C97" s="17" t="str">
        <f>IFERROR(VLOOKUP(B97,Инфо!$A$2:$E$89,4,0),"")</f>
        <v/>
      </c>
      <c r="D97" s="18" t="str">
        <f>IFERROR(VLOOKUP($B97,Инфо!$A$3:$E$91,5,0),"")</f>
        <v/>
      </c>
      <c r="E97" s="19" t="str">
        <f>IFERROR(IF(B97=0,"",IF(O97=U97,CONCATENATE(O97," ",VLOOKUP($A$1,Инфо!$K:$M,3,0)),CONCATENATE(O97,"-",U97," ",VLOOKUP($A$1,Инфо!$K:$M,3,0)))),"")</f>
        <v/>
      </c>
      <c r="F97" s="20"/>
      <c r="G97" s="20"/>
      <c r="H97" s="51" t="str">
        <f>IF(F97="авто",VLOOKUP(G97,'Расстояние между городами'!C:D,2,0),"")</f>
        <v/>
      </c>
      <c r="I97" s="42"/>
      <c r="J97" s="24"/>
      <c r="K97" s="24"/>
      <c r="L97" s="24"/>
      <c r="M97" s="24"/>
      <c r="N97" s="24"/>
      <c r="O97" s="25"/>
      <c r="P97" s="26"/>
      <c r="Q97" s="25"/>
      <c r="R97" s="26"/>
      <c r="S97" s="25"/>
      <c r="T97" s="26"/>
      <c r="U97" s="25"/>
      <c r="V97" s="26"/>
      <c r="W97" s="36"/>
      <c r="X97" s="39"/>
      <c r="Y97" s="37"/>
      <c r="Z97" s="37"/>
      <c r="AA97" s="37"/>
      <c r="AB97" s="38"/>
      <c r="AC97" s="39"/>
      <c r="AD97" s="37"/>
      <c r="AE97" s="40"/>
      <c r="AF97" s="40"/>
      <c r="AG97" s="32" t="str">
        <f t="shared" si="0"/>
        <v/>
      </c>
      <c r="AH97" s="33">
        <f t="shared" si="1"/>
        <v>0</v>
      </c>
      <c r="AI97" s="34" t="str">
        <f>IFERROR(IF(AG97=0,"",VLOOKUP($D97,Суточные!$A$2:$C$13,3,0)),"")</f>
        <v/>
      </c>
      <c r="AJ97" s="35" t="str">
        <f t="shared" si="3"/>
        <v/>
      </c>
    </row>
    <row r="98" spans="1:36" ht="17.25" customHeight="1">
      <c r="A98" s="53" t="s">
        <v>79</v>
      </c>
      <c r="B98" s="44"/>
      <c r="C98" s="17" t="str">
        <f>IFERROR(VLOOKUP(B98,Инфо!$A$2:$E$89,4,0),"")</f>
        <v/>
      </c>
      <c r="D98" s="18" t="str">
        <f>IFERROR(VLOOKUP($B98,Инфо!$A$3:$E$91,5,0),"")</f>
        <v/>
      </c>
      <c r="E98" s="19" t="str">
        <f>IFERROR(IF(B98=0,"",IF(O98=U98,CONCATENATE(O98," ",VLOOKUP($A$1,Инфо!$K:$M,3,0)),CONCATENATE(O98,"-",U98," ",VLOOKUP($A$1,Инфо!$K:$M,3,0)))),"")</f>
        <v/>
      </c>
      <c r="F98" s="20"/>
      <c r="G98" s="20"/>
      <c r="H98" s="51" t="str">
        <f>IF(F98="авто",VLOOKUP(G98,'Расстояние между городами'!C:D,2,0),"")</f>
        <v/>
      </c>
      <c r="I98" s="42"/>
      <c r="J98" s="24"/>
      <c r="K98" s="24"/>
      <c r="L98" s="24"/>
      <c r="M98" s="24"/>
      <c r="N98" s="24"/>
      <c r="O98" s="25"/>
      <c r="P98" s="26"/>
      <c r="Q98" s="25"/>
      <c r="R98" s="26"/>
      <c r="S98" s="25"/>
      <c r="T98" s="26"/>
      <c r="U98" s="25"/>
      <c r="V98" s="26"/>
      <c r="W98" s="36"/>
      <c r="X98" s="39"/>
      <c r="Y98" s="37"/>
      <c r="Z98" s="37"/>
      <c r="AA98" s="37"/>
      <c r="AB98" s="38"/>
      <c r="AC98" s="39"/>
      <c r="AD98" s="37"/>
      <c r="AE98" s="40"/>
      <c r="AF98" s="40"/>
      <c r="AG98" s="32" t="str">
        <f t="shared" si="0"/>
        <v/>
      </c>
      <c r="AH98" s="33">
        <f t="shared" si="1"/>
        <v>0</v>
      </c>
      <c r="AI98" s="34" t="str">
        <f>IFERROR(IF(AG98=0,"",VLOOKUP($D98,Суточные!$A$2:$C$13,3,0)),"")</f>
        <v/>
      </c>
      <c r="AJ98" s="35" t="str">
        <f t="shared" si="3"/>
        <v/>
      </c>
    </row>
    <row r="99" spans="1:36" ht="17.25" customHeight="1">
      <c r="A99" s="53" t="s">
        <v>79</v>
      </c>
      <c r="B99" s="44"/>
      <c r="C99" s="17" t="str">
        <f>IFERROR(VLOOKUP(B99,Инфо!$A$2:$E$89,4,0),"")</f>
        <v/>
      </c>
      <c r="D99" s="18" t="str">
        <f>IFERROR(VLOOKUP($B99,Инфо!$A$3:$E$91,5,0),"")</f>
        <v/>
      </c>
      <c r="E99" s="19" t="str">
        <f>IFERROR(IF(B99=0,"",IF(O99=U99,CONCATENATE(O99," ",VLOOKUP($A$1,Инфо!$K:$M,3,0)),CONCATENATE(O99,"-",U99," ",VLOOKUP($A$1,Инфо!$K:$M,3,0)))),"")</f>
        <v/>
      </c>
      <c r="F99" s="20"/>
      <c r="G99" s="20"/>
      <c r="H99" s="51" t="str">
        <f>IF(F99="авто",VLOOKUP(G99,'Расстояние между городами'!C:D,2,0),"")</f>
        <v/>
      </c>
      <c r="I99" s="42"/>
      <c r="J99" s="24"/>
      <c r="K99" s="24"/>
      <c r="L99" s="24"/>
      <c r="M99" s="24"/>
      <c r="N99" s="24"/>
      <c r="O99" s="25"/>
      <c r="P99" s="26"/>
      <c r="Q99" s="25"/>
      <c r="R99" s="26"/>
      <c r="S99" s="25"/>
      <c r="T99" s="26"/>
      <c r="U99" s="25"/>
      <c r="V99" s="26"/>
      <c r="W99" s="36"/>
      <c r="X99" s="39"/>
      <c r="Y99" s="37"/>
      <c r="Z99" s="37"/>
      <c r="AA99" s="37"/>
      <c r="AB99" s="38"/>
      <c r="AC99" s="39"/>
      <c r="AD99" s="37"/>
      <c r="AE99" s="40"/>
      <c r="AF99" s="40"/>
      <c r="AG99" s="32" t="str">
        <f t="shared" si="0"/>
        <v/>
      </c>
      <c r="AH99" s="33">
        <f t="shared" si="1"/>
        <v>0</v>
      </c>
      <c r="AI99" s="34" t="str">
        <f>IFERROR(IF(AG99=0,"",VLOOKUP($D99,Суточные!$A$2:$C$13,3,0)),"")</f>
        <v/>
      </c>
      <c r="AJ99" s="35" t="str">
        <f t="shared" si="3"/>
        <v/>
      </c>
    </row>
    <row r="100" spans="1:36" ht="17.25" customHeight="1">
      <c r="A100" s="53" t="s">
        <v>79</v>
      </c>
      <c r="B100" s="44"/>
      <c r="C100" s="17" t="str">
        <f>IFERROR(VLOOKUP(B100,Инфо!$A$2:$E$89,4,0),"")</f>
        <v/>
      </c>
      <c r="D100" s="18" t="str">
        <f>IFERROR(VLOOKUP($B100,Инфо!$A$3:$E$91,5,0),"")</f>
        <v/>
      </c>
      <c r="E100" s="19" t="str">
        <f>IFERROR(IF(B100=0,"",IF(O100=U100,CONCATENATE(O100," ",VLOOKUP($A$1,Инфо!$K:$M,3,0)),CONCATENATE(O100,"-",U100," ",VLOOKUP($A$1,Инфо!$K:$M,3,0)))),"")</f>
        <v/>
      </c>
      <c r="F100" s="20"/>
      <c r="G100" s="20"/>
      <c r="H100" s="51" t="str">
        <f>IF(F100="авто",VLOOKUP(G100,'Расстояние между городами'!C:D,2,0),"")</f>
        <v/>
      </c>
      <c r="I100" s="42"/>
      <c r="J100" s="24"/>
      <c r="K100" s="24"/>
      <c r="L100" s="24"/>
      <c r="M100" s="24"/>
      <c r="N100" s="24"/>
      <c r="O100" s="25"/>
      <c r="P100" s="26"/>
      <c r="Q100" s="25"/>
      <c r="R100" s="26"/>
      <c r="S100" s="25"/>
      <c r="T100" s="26"/>
      <c r="U100" s="25"/>
      <c r="V100" s="26"/>
      <c r="W100" s="36"/>
      <c r="X100" s="39"/>
      <c r="Y100" s="37"/>
      <c r="Z100" s="37"/>
      <c r="AA100" s="37"/>
      <c r="AB100" s="38"/>
      <c r="AC100" s="39"/>
      <c r="AD100" s="37"/>
      <c r="AE100" s="40"/>
      <c r="AF100" s="40"/>
      <c r="AG100" s="32" t="str">
        <f t="shared" si="0"/>
        <v/>
      </c>
      <c r="AH100" s="33">
        <f t="shared" si="1"/>
        <v>0</v>
      </c>
      <c r="AI100" s="34" t="str">
        <f>IFERROR(IF(AG100=0,"",VLOOKUP($D100,Суточные!$A$2:$C$13,3,0)),"")</f>
        <v/>
      </c>
      <c r="AJ100" s="35" t="str">
        <f t="shared" si="3"/>
        <v/>
      </c>
    </row>
    <row r="101" spans="1:36" ht="17.25" customHeight="1">
      <c r="A101" s="53" t="s">
        <v>79</v>
      </c>
      <c r="B101" s="44"/>
      <c r="C101" s="17" t="str">
        <f>IFERROR(VLOOKUP(B101,Инфо!$A$2:$E$89,4,0),"")</f>
        <v/>
      </c>
      <c r="D101" s="18" t="str">
        <f>IFERROR(VLOOKUP($B101,Инфо!$A$3:$E$91,5,0),"")</f>
        <v/>
      </c>
      <c r="E101" s="19" t="str">
        <f>IFERROR(IF(B101=0,"",IF(O101=U101,CONCATENATE(O101," ",VLOOKUP($A$1,Инфо!$K:$M,3,0)),CONCATENATE(O101,"-",U101," ",VLOOKUP($A$1,Инфо!$K:$M,3,0)))),"")</f>
        <v/>
      </c>
      <c r="F101" s="20"/>
      <c r="G101" s="20"/>
      <c r="H101" s="51" t="str">
        <f>IF(F101="авто",VLOOKUP(G101,'Расстояние между городами'!C:D,2,0),"")</f>
        <v/>
      </c>
      <c r="I101" s="42"/>
      <c r="J101" s="24"/>
      <c r="K101" s="24"/>
      <c r="L101" s="24"/>
      <c r="M101" s="24"/>
      <c r="N101" s="24"/>
      <c r="O101" s="25"/>
      <c r="P101" s="26"/>
      <c r="Q101" s="25"/>
      <c r="R101" s="26"/>
      <c r="S101" s="25"/>
      <c r="T101" s="26"/>
      <c r="U101" s="25"/>
      <c r="V101" s="26"/>
      <c r="W101" s="36"/>
      <c r="X101" s="39"/>
      <c r="Y101" s="37"/>
      <c r="Z101" s="37"/>
      <c r="AA101" s="37"/>
      <c r="AB101" s="38"/>
      <c r="AC101" s="39"/>
      <c r="AD101" s="37"/>
      <c r="AE101" s="40"/>
      <c r="AF101" s="40"/>
      <c r="AG101" s="32" t="str">
        <f t="shared" si="0"/>
        <v/>
      </c>
      <c r="AH101" s="33">
        <f t="shared" si="1"/>
        <v>0</v>
      </c>
      <c r="AI101" s="34" t="str">
        <f>IFERROR(IF(AG101=0,"",VLOOKUP($D101,Суточные!$A$2:$C$13,3,0)),"")</f>
        <v/>
      </c>
      <c r="AJ101" s="35" t="str">
        <f t="shared" si="3"/>
        <v/>
      </c>
    </row>
    <row r="102" spans="1:36" ht="17.25" customHeight="1">
      <c r="A102" s="53" t="s">
        <v>79</v>
      </c>
      <c r="B102" s="44"/>
      <c r="C102" s="17" t="str">
        <f>IFERROR(VLOOKUP(B102,Инфо!$A$2:$E$89,4,0),"")</f>
        <v/>
      </c>
      <c r="D102" s="18" t="str">
        <f>IFERROR(VLOOKUP($B102,Инфо!$A$3:$E$91,5,0),"")</f>
        <v/>
      </c>
      <c r="E102" s="19" t="str">
        <f>IFERROR(IF(B102=0,"",IF(O102=U102,CONCATENATE(O102," ",VLOOKUP($A$1,Инфо!$K:$M,3,0)),CONCATENATE(O102,"-",U102," ",VLOOKUP($A$1,Инфо!$K:$M,3,0)))),"")</f>
        <v/>
      </c>
      <c r="F102" s="20"/>
      <c r="G102" s="20"/>
      <c r="H102" s="51" t="str">
        <f>IF(F102="авто",VLOOKUP(G102,'Расстояние между городами'!C:D,2,0),"")</f>
        <v/>
      </c>
      <c r="I102" s="42"/>
      <c r="J102" s="24"/>
      <c r="K102" s="24"/>
      <c r="L102" s="24"/>
      <c r="M102" s="24"/>
      <c r="N102" s="24"/>
      <c r="O102" s="25"/>
      <c r="P102" s="26"/>
      <c r="Q102" s="25"/>
      <c r="R102" s="26"/>
      <c r="S102" s="25"/>
      <c r="T102" s="26"/>
      <c r="U102" s="25"/>
      <c r="V102" s="26"/>
      <c r="W102" s="36"/>
      <c r="X102" s="39"/>
      <c r="Y102" s="37"/>
      <c r="Z102" s="37"/>
      <c r="AA102" s="37"/>
      <c r="AB102" s="38"/>
      <c r="AC102" s="39"/>
      <c r="AD102" s="37"/>
      <c r="AE102" s="40"/>
      <c r="AF102" s="40"/>
      <c r="AG102" s="32" t="str">
        <f t="shared" si="0"/>
        <v/>
      </c>
      <c r="AH102" s="33">
        <f t="shared" si="1"/>
        <v>0</v>
      </c>
      <c r="AI102" s="34" t="str">
        <f>IFERROR(IF(AG102=0,"",VLOOKUP($D102,Суточные!$A$2:$C$13,3,0)),"")</f>
        <v/>
      </c>
      <c r="AJ102" s="35" t="str">
        <f t="shared" si="3"/>
        <v/>
      </c>
    </row>
    <row r="103" spans="1:36" ht="17.25" customHeight="1">
      <c r="A103" s="53" t="s">
        <v>79</v>
      </c>
      <c r="B103" s="44"/>
      <c r="C103" s="17" t="str">
        <f>IFERROR(VLOOKUP(B103,Инфо!$A$2:$E$89,4,0),"")</f>
        <v/>
      </c>
      <c r="D103" s="18" t="str">
        <f>IFERROR(VLOOKUP($B103,Инфо!$A$3:$E$91,5,0),"")</f>
        <v/>
      </c>
      <c r="E103" s="19" t="str">
        <f>IFERROR(IF(B103=0,"",IF(O103=U103,CONCATENATE(O103," ",VLOOKUP($A$1,Инфо!$K:$M,3,0)),CONCATENATE(O103,"-",U103," ",VLOOKUP($A$1,Инфо!$K:$M,3,0)))),"")</f>
        <v/>
      </c>
      <c r="F103" s="20"/>
      <c r="G103" s="20"/>
      <c r="H103" s="51" t="str">
        <f>IF(F103="авто",VLOOKUP(G103,'Расстояние между городами'!C:D,2,0),"")</f>
        <v/>
      </c>
      <c r="I103" s="42"/>
      <c r="J103" s="24"/>
      <c r="K103" s="24"/>
      <c r="L103" s="24"/>
      <c r="M103" s="24"/>
      <c r="N103" s="24"/>
      <c r="O103" s="25"/>
      <c r="P103" s="26"/>
      <c r="Q103" s="25"/>
      <c r="R103" s="26"/>
      <c r="S103" s="25"/>
      <c r="T103" s="26"/>
      <c r="U103" s="25"/>
      <c r="V103" s="26"/>
      <c r="W103" s="36"/>
      <c r="X103" s="39"/>
      <c r="Y103" s="37"/>
      <c r="Z103" s="37"/>
      <c r="AA103" s="37"/>
      <c r="AB103" s="38"/>
      <c r="AC103" s="39"/>
      <c r="AD103" s="37"/>
      <c r="AE103" s="40"/>
      <c r="AF103" s="40"/>
      <c r="AG103" s="32" t="str">
        <f t="shared" si="0"/>
        <v/>
      </c>
      <c r="AH103" s="33">
        <f t="shared" si="1"/>
        <v>0</v>
      </c>
      <c r="AI103" s="34" t="str">
        <f>IFERROR(IF(AG103=0,"",VLOOKUP($D103,Суточные!$A$2:$C$13,3,0)),"")</f>
        <v/>
      </c>
      <c r="AJ103" s="35" t="str">
        <f t="shared" si="3"/>
        <v/>
      </c>
    </row>
    <row r="104" spans="1:36" ht="17.25" customHeight="1">
      <c r="A104" s="53" t="s">
        <v>79</v>
      </c>
      <c r="B104" s="44"/>
      <c r="C104" s="17" t="str">
        <f>IFERROR(VLOOKUP(B104,Инфо!$A$2:$E$89,4,0),"")</f>
        <v/>
      </c>
      <c r="D104" s="18" t="str">
        <f>IFERROR(VLOOKUP($B104,Инфо!$A$3:$E$91,5,0),"")</f>
        <v/>
      </c>
      <c r="E104" s="19" t="str">
        <f>IFERROR(IF(B104=0,"",IF(O104=U104,CONCATENATE(O104," ",VLOOKUP($A$1,Инфо!$K:$M,3,0)),CONCATENATE(O104,"-",U104," ",VLOOKUP($A$1,Инфо!$K:$M,3,0)))),"")</f>
        <v/>
      </c>
      <c r="F104" s="20"/>
      <c r="G104" s="20"/>
      <c r="H104" s="51" t="str">
        <f>IF(F104="авто",VLOOKUP(G104,'Расстояние между городами'!C:D,2,0),"")</f>
        <v/>
      </c>
      <c r="I104" s="42"/>
      <c r="J104" s="24"/>
      <c r="K104" s="24"/>
      <c r="L104" s="24"/>
      <c r="M104" s="24"/>
      <c r="N104" s="24"/>
      <c r="O104" s="25"/>
      <c r="P104" s="26"/>
      <c r="Q104" s="25"/>
      <c r="R104" s="26"/>
      <c r="S104" s="25"/>
      <c r="T104" s="26"/>
      <c r="U104" s="25"/>
      <c r="V104" s="26"/>
      <c r="W104" s="36"/>
      <c r="X104" s="39"/>
      <c r="Y104" s="37"/>
      <c r="Z104" s="37"/>
      <c r="AA104" s="37"/>
      <c r="AB104" s="38"/>
      <c r="AC104" s="39"/>
      <c r="AD104" s="37"/>
      <c r="AE104" s="40"/>
      <c r="AF104" s="40"/>
      <c r="AG104" s="32" t="str">
        <f t="shared" si="0"/>
        <v/>
      </c>
      <c r="AH104" s="33">
        <f t="shared" si="1"/>
        <v>0</v>
      </c>
      <c r="AI104" s="34" t="str">
        <f>IFERROR(IF(AG104=0,"",VLOOKUP($D104,Суточные!$A$2:$C$13,3,0)),"")</f>
        <v/>
      </c>
      <c r="AJ104" s="35" t="str">
        <f t="shared" si="3"/>
        <v/>
      </c>
    </row>
    <row r="105" spans="1:36" ht="17.25" customHeight="1">
      <c r="A105" s="53" t="s">
        <v>79</v>
      </c>
      <c r="B105" s="44"/>
      <c r="C105" s="17" t="str">
        <f>IFERROR(VLOOKUP(B105,Инфо!$A$2:$E$89,4,0),"")</f>
        <v/>
      </c>
      <c r="D105" s="18" t="str">
        <f>IFERROR(VLOOKUP($B105,Инфо!$A$3:$E$91,5,0),"")</f>
        <v/>
      </c>
      <c r="E105" s="19" t="str">
        <f>IFERROR(IF(B105=0,"",IF(O105=U105,CONCATENATE(O105," ",VLOOKUP($A$1,Инфо!$K:$M,3,0)),CONCATENATE(O105,"-",U105," ",VLOOKUP($A$1,Инфо!$K:$M,3,0)))),"")</f>
        <v/>
      </c>
      <c r="F105" s="20"/>
      <c r="G105" s="20"/>
      <c r="H105" s="51" t="str">
        <f>IF(F105="авто",VLOOKUP(G105,'Расстояние между городами'!C:D,2,0),"")</f>
        <v/>
      </c>
      <c r="I105" s="42"/>
      <c r="J105" s="24"/>
      <c r="K105" s="24"/>
      <c r="L105" s="24"/>
      <c r="M105" s="24"/>
      <c r="N105" s="24"/>
      <c r="O105" s="25"/>
      <c r="P105" s="26"/>
      <c r="Q105" s="25"/>
      <c r="R105" s="26"/>
      <c r="S105" s="25"/>
      <c r="T105" s="26"/>
      <c r="U105" s="25"/>
      <c r="V105" s="26"/>
      <c r="W105" s="36"/>
      <c r="X105" s="39"/>
      <c r="Y105" s="37"/>
      <c r="Z105" s="37"/>
      <c r="AA105" s="37"/>
      <c r="AB105" s="38"/>
      <c r="AC105" s="39"/>
      <c r="AD105" s="37"/>
      <c r="AE105" s="40"/>
      <c r="AF105" s="40"/>
      <c r="AG105" s="32" t="str">
        <f t="shared" si="0"/>
        <v/>
      </c>
      <c r="AH105" s="33">
        <f t="shared" si="1"/>
        <v>0</v>
      </c>
      <c r="AI105" s="34" t="str">
        <f>IFERROR(IF(AG105=0,"",VLOOKUP($D105,Суточные!$A$2:$C$13,3,0)),"")</f>
        <v/>
      </c>
      <c r="AJ105" s="35" t="str">
        <f t="shared" si="3"/>
        <v/>
      </c>
    </row>
    <row r="106" spans="1:36" ht="17.25" customHeight="1">
      <c r="A106" s="53" t="s">
        <v>79</v>
      </c>
      <c r="B106" s="44"/>
      <c r="C106" s="17" t="str">
        <f>IFERROR(VLOOKUP(B106,Инфо!$A$2:$E$89,4,0),"")</f>
        <v/>
      </c>
      <c r="D106" s="18" t="str">
        <f>IFERROR(VLOOKUP($B106,Инфо!$A$3:$E$91,5,0),"")</f>
        <v/>
      </c>
      <c r="E106" s="19" t="str">
        <f>IFERROR(IF(B106=0,"",IF(O106=U106,CONCATENATE(O106," ",VLOOKUP($A$1,Инфо!$K:$M,3,0)),CONCATENATE(O106,"-",U106," ",VLOOKUP($A$1,Инфо!$K:$M,3,0)))),"")</f>
        <v/>
      </c>
      <c r="F106" s="20"/>
      <c r="G106" s="20"/>
      <c r="H106" s="51" t="str">
        <f>IF(F106="авто",VLOOKUP(G106,'Расстояние между городами'!C:D,2,0),"")</f>
        <v/>
      </c>
      <c r="I106" s="42"/>
      <c r="J106" s="24"/>
      <c r="K106" s="24"/>
      <c r="L106" s="24"/>
      <c r="M106" s="24"/>
      <c r="N106" s="24"/>
      <c r="O106" s="25"/>
      <c r="P106" s="26"/>
      <c r="Q106" s="25"/>
      <c r="R106" s="26"/>
      <c r="S106" s="25"/>
      <c r="T106" s="26"/>
      <c r="U106" s="25"/>
      <c r="V106" s="26"/>
      <c r="W106" s="36"/>
      <c r="X106" s="39"/>
      <c r="Y106" s="37"/>
      <c r="Z106" s="37"/>
      <c r="AA106" s="37"/>
      <c r="AB106" s="38"/>
      <c r="AC106" s="39"/>
      <c r="AD106" s="37"/>
      <c r="AE106" s="40"/>
      <c r="AF106" s="40"/>
      <c r="AG106" s="32" t="str">
        <f t="shared" si="0"/>
        <v/>
      </c>
      <c r="AH106" s="33">
        <f t="shared" si="1"/>
        <v>0</v>
      </c>
      <c r="AI106" s="34" t="str">
        <f>IFERROR(IF(AG106=0,"",VLOOKUP($D106,Суточные!$A$2:$C$13,3,0)),"")</f>
        <v/>
      </c>
      <c r="AJ106" s="35" t="str">
        <f t="shared" si="3"/>
        <v/>
      </c>
    </row>
    <row r="107" spans="1:36" ht="17.25" customHeight="1">
      <c r="A107" s="53" t="s">
        <v>79</v>
      </c>
      <c r="B107" s="44"/>
      <c r="C107" s="17" t="str">
        <f>IFERROR(VLOOKUP(B107,Инфо!$A$2:$E$89,4,0),"")</f>
        <v/>
      </c>
      <c r="D107" s="18" t="str">
        <f>IFERROR(VLOOKUP($B107,Инфо!$A$3:$E$91,5,0),"")</f>
        <v/>
      </c>
      <c r="E107" s="19" t="str">
        <f>IFERROR(IF(B107=0,"",IF(O107=U107,CONCATENATE(O107," ",VLOOKUP($A$1,Инфо!$K:$M,3,0)),CONCATENATE(O107,"-",U107," ",VLOOKUP($A$1,Инфо!$K:$M,3,0)))),"")</f>
        <v/>
      </c>
      <c r="F107" s="20"/>
      <c r="G107" s="20"/>
      <c r="H107" s="51" t="str">
        <f>IF(F107="авто",VLOOKUP(G107,'Расстояние между городами'!C:D,2,0),"")</f>
        <v/>
      </c>
      <c r="I107" s="42"/>
      <c r="J107" s="24"/>
      <c r="K107" s="24"/>
      <c r="L107" s="24"/>
      <c r="M107" s="24"/>
      <c r="N107" s="24"/>
      <c r="O107" s="25"/>
      <c r="P107" s="26"/>
      <c r="Q107" s="25"/>
      <c r="R107" s="26"/>
      <c r="S107" s="25"/>
      <c r="T107" s="26"/>
      <c r="U107" s="25"/>
      <c r="V107" s="26"/>
      <c r="W107" s="36"/>
      <c r="X107" s="39"/>
      <c r="Y107" s="37"/>
      <c r="Z107" s="37"/>
      <c r="AA107" s="37"/>
      <c r="AB107" s="38"/>
      <c r="AC107" s="39"/>
      <c r="AD107" s="37"/>
      <c r="AE107" s="40"/>
      <c r="AF107" s="40"/>
      <c r="AG107" s="32" t="str">
        <f t="shared" si="0"/>
        <v/>
      </c>
      <c r="AH107" s="33">
        <f t="shared" si="1"/>
        <v>0</v>
      </c>
      <c r="AI107" s="34" t="str">
        <f>IFERROR(IF(AG107=0,"",VLOOKUP($D107,Суточные!$A$2:$C$13,3,0)),"")</f>
        <v/>
      </c>
      <c r="AJ107" s="35" t="str">
        <f t="shared" si="3"/>
        <v/>
      </c>
    </row>
    <row r="108" spans="1:36" ht="17.25" customHeight="1">
      <c r="A108" s="53" t="s">
        <v>79</v>
      </c>
      <c r="B108" s="44"/>
      <c r="C108" s="17" t="str">
        <f>IFERROR(VLOOKUP(B108,Инфо!$A$2:$E$89,4,0),"")</f>
        <v/>
      </c>
      <c r="D108" s="18" t="str">
        <f>IFERROR(VLOOKUP($B108,Инфо!$A$3:$E$91,5,0),"")</f>
        <v/>
      </c>
      <c r="E108" s="19" t="str">
        <f>IFERROR(IF(B108=0,"",IF(O108=U108,CONCATENATE(O108," ",VLOOKUP($A$1,Инфо!$K:$M,3,0)),CONCATENATE(O108,"-",U108," ",VLOOKUP($A$1,Инфо!$K:$M,3,0)))),"")</f>
        <v/>
      </c>
      <c r="F108" s="20"/>
      <c r="G108" s="20"/>
      <c r="H108" s="51" t="str">
        <f>IF(F108="авто",VLOOKUP(G108,'Расстояние между городами'!C:D,2,0),"")</f>
        <v/>
      </c>
      <c r="I108" s="42"/>
      <c r="J108" s="24"/>
      <c r="K108" s="24"/>
      <c r="L108" s="24"/>
      <c r="M108" s="24"/>
      <c r="N108" s="24"/>
      <c r="O108" s="25"/>
      <c r="P108" s="26"/>
      <c r="Q108" s="25"/>
      <c r="R108" s="26"/>
      <c r="S108" s="25"/>
      <c r="T108" s="26"/>
      <c r="U108" s="25"/>
      <c r="V108" s="26"/>
      <c r="W108" s="36"/>
      <c r="X108" s="39"/>
      <c r="Y108" s="37"/>
      <c r="Z108" s="37"/>
      <c r="AA108" s="37"/>
      <c r="AB108" s="38"/>
      <c r="AC108" s="39"/>
      <c r="AD108" s="37"/>
      <c r="AE108" s="40"/>
      <c r="AF108" s="40"/>
      <c r="AG108" s="32" t="str">
        <f t="shared" si="0"/>
        <v/>
      </c>
      <c r="AH108" s="33">
        <f t="shared" si="1"/>
        <v>0</v>
      </c>
      <c r="AI108" s="34" t="str">
        <f>IFERROR(IF(AG108=0,"",VLOOKUP($D108,Суточные!$A$2:$C$13,3,0)),"")</f>
        <v/>
      </c>
      <c r="AJ108" s="35" t="str">
        <f t="shared" si="3"/>
        <v/>
      </c>
    </row>
    <row r="109" spans="1:36" ht="17.25" customHeight="1">
      <c r="A109" s="53" t="s">
        <v>79</v>
      </c>
      <c r="B109" s="44"/>
      <c r="C109" s="17" t="str">
        <f>IFERROR(VLOOKUP(B109,Инфо!$A$2:$E$89,4,0),"")</f>
        <v/>
      </c>
      <c r="D109" s="18" t="str">
        <f>IFERROR(VLOOKUP($B109,Инфо!$A$3:$E$91,5,0),"")</f>
        <v/>
      </c>
      <c r="E109" s="19" t="str">
        <f>IFERROR(IF(B109=0,"",IF(O109=U109,CONCATENATE(O109," ",VLOOKUP($A$1,Инфо!$K:$M,3,0)),CONCATENATE(O109,"-",U109," ",VLOOKUP($A$1,Инфо!$K:$M,3,0)))),"")</f>
        <v/>
      </c>
      <c r="F109" s="20"/>
      <c r="G109" s="20"/>
      <c r="H109" s="51" t="str">
        <f>IF(F109="авто",VLOOKUP(G109,'Расстояние между городами'!C:D,2,0),"")</f>
        <v/>
      </c>
      <c r="I109" s="42"/>
      <c r="J109" s="24"/>
      <c r="K109" s="24"/>
      <c r="L109" s="24"/>
      <c r="M109" s="24"/>
      <c r="N109" s="24"/>
      <c r="O109" s="25"/>
      <c r="P109" s="26"/>
      <c r="Q109" s="25"/>
      <c r="R109" s="26"/>
      <c r="S109" s="25"/>
      <c r="T109" s="26"/>
      <c r="U109" s="25"/>
      <c r="V109" s="26"/>
      <c r="W109" s="36"/>
      <c r="X109" s="39"/>
      <c r="Y109" s="37"/>
      <c r="Z109" s="37"/>
      <c r="AA109" s="37"/>
      <c r="AB109" s="38"/>
      <c r="AC109" s="39"/>
      <c r="AD109" s="37"/>
      <c r="AE109" s="40"/>
      <c r="AF109" s="40"/>
      <c r="AG109" s="32" t="str">
        <f t="shared" si="0"/>
        <v/>
      </c>
      <c r="AH109" s="33">
        <f t="shared" si="1"/>
        <v>0</v>
      </c>
      <c r="AI109" s="34" t="str">
        <f>IFERROR(IF(AG109=0,"",VLOOKUP($D109,Суточные!$A$2:$C$13,3,0)),"")</f>
        <v/>
      </c>
      <c r="AJ109" s="35" t="str">
        <f t="shared" si="3"/>
        <v/>
      </c>
    </row>
    <row r="110" spans="1:36" ht="17.25" customHeight="1">
      <c r="A110" s="53" t="s">
        <v>79</v>
      </c>
      <c r="B110" s="44"/>
      <c r="C110" s="17" t="str">
        <f>IFERROR(VLOOKUP(B110,Инфо!$A$2:$E$89,4,0),"")</f>
        <v/>
      </c>
      <c r="D110" s="18" t="str">
        <f>IFERROR(VLOOKUP($B110,Инфо!$A$3:$E$91,5,0),"")</f>
        <v/>
      </c>
      <c r="E110" s="19" t="str">
        <f>IFERROR(IF(B110=0,"",IF(O110=U110,CONCATENATE(O110," ",VLOOKUP($A$1,Инфо!$K:$M,3,0)),CONCATENATE(O110,"-",U110," ",VLOOKUP($A$1,Инфо!$K:$M,3,0)))),"")</f>
        <v/>
      </c>
      <c r="F110" s="20"/>
      <c r="G110" s="20"/>
      <c r="H110" s="51" t="str">
        <f>IF(F110="авто",VLOOKUP(G110,'Расстояние между городами'!C:D,2,0),"")</f>
        <v/>
      </c>
      <c r="I110" s="42"/>
      <c r="J110" s="24"/>
      <c r="K110" s="24"/>
      <c r="L110" s="24"/>
      <c r="M110" s="24"/>
      <c r="N110" s="24"/>
      <c r="O110" s="25"/>
      <c r="P110" s="26"/>
      <c r="Q110" s="25"/>
      <c r="R110" s="26"/>
      <c r="S110" s="25"/>
      <c r="T110" s="26"/>
      <c r="U110" s="25"/>
      <c r="V110" s="26"/>
      <c r="W110" s="36"/>
      <c r="X110" s="39"/>
      <c r="Y110" s="37"/>
      <c r="Z110" s="37"/>
      <c r="AA110" s="37"/>
      <c r="AB110" s="38"/>
      <c r="AC110" s="39"/>
      <c r="AD110" s="37"/>
      <c r="AE110" s="40"/>
      <c r="AF110" s="40"/>
      <c r="AG110" s="32" t="str">
        <f t="shared" si="0"/>
        <v/>
      </c>
      <c r="AH110" s="33">
        <f t="shared" si="1"/>
        <v>0</v>
      </c>
      <c r="AI110" s="34" t="str">
        <f>IFERROR(IF(AG110=0,"",VLOOKUP($D110,Суточные!$A$2:$C$13,3,0)),"")</f>
        <v/>
      </c>
      <c r="AJ110" s="35" t="str">
        <f t="shared" si="3"/>
        <v/>
      </c>
    </row>
    <row r="111" spans="1:36" ht="17.25" customHeight="1">
      <c r="A111" s="53" t="s">
        <v>79</v>
      </c>
      <c r="B111" s="44"/>
      <c r="C111" s="17" t="str">
        <f>IFERROR(VLOOKUP(B111,Инфо!$A$2:$E$89,4,0),"")</f>
        <v/>
      </c>
      <c r="D111" s="18" t="str">
        <f>IFERROR(VLOOKUP($B111,Инфо!$A$3:$E$91,5,0),"")</f>
        <v/>
      </c>
      <c r="E111" s="19" t="str">
        <f>IFERROR(IF(B111=0,"",IF(O111=U111,CONCATENATE(O111," ",VLOOKUP($A$1,Инфо!$K:$M,3,0)),CONCATENATE(O111,"-",U111," ",VLOOKUP($A$1,Инфо!$K:$M,3,0)))),"")</f>
        <v/>
      </c>
      <c r="F111" s="20"/>
      <c r="G111" s="20"/>
      <c r="H111" s="51" t="str">
        <f>IF(F111="авто",VLOOKUP(G111,'Расстояние между городами'!C:D,2,0),"")</f>
        <v/>
      </c>
      <c r="I111" s="42"/>
      <c r="J111" s="24"/>
      <c r="K111" s="24"/>
      <c r="L111" s="24"/>
      <c r="M111" s="24"/>
      <c r="N111" s="24"/>
      <c r="O111" s="25"/>
      <c r="P111" s="26"/>
      <c r="Q111" s="25"/>
      <c r="R111" s="26"/>
      <c r="S111" s="25"/>
      <c r="T111" s="26"/>
      <c r="U111" s="25"/>
      <c r="V111" s="26"/>
      <c r="W111" s="36"/>
      <c r="X111" s="39"/>
      <c r="Y111" s="37"/>
      <c r="Z111" s="37"/>
      <c r="AA111" s="37"/>
      <c r="AB111" s="38"/>
      <c r="AC111" s="39"/>
      <c r="AD111" s="37"/>
      <c r="AE111" s="40"/>
      <c r="AF111" s="40"/>
      <c r="AG111" s="32" t="str">
        <f t="shared" si="0"/>
        <v/>
      </c>
      <c r="AH111" s="33">
        <f t="shared" si="1"/>
        <v>0</v>
      </c>
      <c r="AI111" s="34" t="str">
        <f>IFERROR(IF(AG111=0,"",VLOOKUP($D111,Суточные!$A$2:$C$13,3,0)),"")</f>
        <v/>
      </c>
      <c r="AJ111" s="35" t="str">
        <f t="shared" si="3"/>
        <v/>
      </c>
    </row>
    <row r="112" spans="1:36" ht="17.25" customHeight="1">
      <c r="A112" s="53" t="s">
        <v>79</v>
      </c>
      <c r="B112" s="44"/>
      <c r="C112" s="17" t="str">
        <f>IFERROR(VLOOKUP(B112,Инфо!$A$2:$E$89,4,0),"")</f>
        <v/>
      </c>
      <c r="D112" s="18" t="str">
        <f>IFERROR(VLOOKUP($B112,Инфо!$A$3:$E$91,5,0),"")</f>
        <v/>
      </c>
      <c r="E112" s="19" t="str">
        <f>IFERROR(IF(B112=0,"",IF(O112=U112,CONCATENATE(O112," ",VLOOKUP($A$1,Инфо!$K:$M,3,0)),CONCATENATE(O112,"-",U112," ",VLOOKUP($A$1,Инфо!$K:$M,3,0)))),"")</f>
        <v/>
      </c>
      <c r="F112" s="20"/>
      <c r="G112" s="20"/>
      <c r="H112" s="51" t="str">
        <f>IF(F112="авто",VLOOKUP(G112,'Расстояние между городами'!C:D,2,0),"")</f>
        <v/>
      </c>
      <c r="I112" s="42"/>
      <c r="J112" s="24"/>
      <c r="K112" s="24"/>
      <c r="L112" s="24"/>
      <c r="M112" s="24"/>
      <c r="N112" s="24"/>
      <c r="O112" s="25"/>
      <c r="P112" s="26"/>
      <c r="Q112" s="25"/>
      <c r="R112" s="26"/>
      <c r="S112" s="25"/>
      <c r="T112" s="26"/>
      <c r="U112" s="25"/>
      <c r="V112" s="26"/>
      <c r="W112" s="36"/>
      <c r="X112" s="39"/>
      <c r="Y112" s="37"/>
      <c r="Z112" s="37"/>
      <c r="AA112" s="37"/>
      <c r="AB112" s="38"/>
      <c r="AC112" s="39"/>
      <c r="AD112" s="37"/>
      <c r="AE112" s="40"/>
      <c r="AF112" s="40"/>
      <c r="AG112" s="32" t="str">
        <f t="shared" si="0"/>
        <v/>
      </c>
      <c r="AH112" s="33">
        <f t="shared" si="1"/>
        <v>0</v>
      </c>
      <c r="AI112" s="34" t="str">
        <f>IFERROR(IF(AG112=0,"",VLOOKUP($D112,Суточные!$A$2:$C$13,3,0)),"")</f>
        <v/>
      </c>
      <c r="AJ112" s="35" t="str">
        <f t="shared" si="3"/>
        <v/>
      </c>
    </row>
    <row r="113" spans="1:36" ht="17.25" customHeight="1">
      <c r="A113" s="53" t="s">
        <v>79</v>
      </c>
      <c r="B113" s="44"/>
      <c r="C113" s="17" t="str">
        <f>IFERROR(VLOOKUP(B113,Инфо!$A$2:$E$89,4,0),"")</f>
        <v/>
      </c>
      <c r="D113" s="18" t="str">
        <f>IFERROR(VLOOKUP($B113,Инфо!$A$3:$E$91,5,0),"")</f>
        <v/>
      </c>
      <c r="E113" s="19" t="str">
        <f>IFERROR(IF(B113=0,"",IF(O113=U113,CONCATENATE(O113," ",VLOOKUP($A$1,Инфо!$K:$M,3,0)),CONCATENATE(O113,"-",U113," ",VLOOKUP($A$1,Инфо!$K:$M,3,0)))),"")</f>
        <v/>
      </c>
      <c r="F113" s="20"/>
      <c r="G113" s="20"/>
      <c r="H113" s="51" t="str">
        <f>IF(F113="авто",VLOOKUP(G113,'Расстояние между городами'!C:D,2,0),"")</f>
        <v/>
      </c>
      <c r="I113" s="42"/>
      <c r="J113" s="24"/>
      <c r="K113" s="24"/>
      <c r="L113" s="24"/>
      <c r="M113" s="24"/>
      <c r="N113" s="24"/>
      <c r="O113" s="25"/>
      <c r="P113" s="26"/>
      <c r="Q113" s="25"/>
      <c r="R113" s="26"/>
      <c r="S113" s="25"/>
      <c r="T113" s="26"/>
      <c r="U113" s="25"/>
      <c r="V113" s="26"/>
      <c r="W113" s="36"/>
      <c r="X113" s="39"/>
      <c r="Y113" s="37"/>
      <c r="Z113" s="37"/>
      <c r="AA113" s="37"/>
      <c r="AB113" s="38"/>
      <c r="AC113" s="39"/>
      <c r="AD113" s="37"/>
      <c r="AE113" s="40"/>
      <c r="AF113" s="40"/>
      <c r="AG113" s="32" t="str">
        <f t="shared" si="0"/>
        <v/>
      </c>
      <c r="AH113" s="33">
        <f t="shared" si="1"/>
        <v>0</v>
      </c>
      <c r="AI113" s="34" t="str">
        <f>IFERROR(IF(AG113=0,"",VLOOKUP($D113,Суточные!$A$2:$C$13,3,0)),"")</f>
        <v/>
      </c>
      <c r="AJ113" s="35" t="str">
        <f t="shared" ref="AJ113:AJ145" si="4">IFERROR(IF(AG113&gt;1,AG113*AI113,IF(AND(AG113=1,OR(F113="ж/д",F113="авиа")),AG113*AI113,0)),"")</f>
        <v/>
      </c>
    </row>
    <row r="114" spans="1:36" ht="17.25" customHeight="1">
      <c r="A114" s="53" t="s">
        <v>79</v>
      </c>
      <c r="B114" s="44"/>
      <c r="C114" s="17" t="str">
        <f>IFERROR(VLOOKUP(B114,Инфо!$A$2:$E$89,4,0),"")</f>
        <v/>
      </c>
      <c r="D114" s="18" t="str">
        <f>IFERROR(VLOOKUP($B114,Инфо!$A$3:$E$91,5,0),"")</f>
        <v/>
      </c>
      <c r="E114" s="19" t="str">
        <f>IFERROR(IF(B114=0,"",IF(O114=U114,CONCATENATE(O114," ",VLOOKUP($A$1,Инфо!$K:$M,3,0)),CONCATENATE(O114,"-",U114," ",VLOOKUP($A$1,Инфо!$K:$M,3,0)))),"")</f>
        <v/>
      </c>
      <c r="F114" s="20"/>
      <c r="G114" s="20"/>
      <c r="H114" s="51" t="str">
        <f>IF(F114="авто",VLOOKUP(G114,'Расстояние между городами'!C:D,2,0),"")</f>
        <v/>
      </c>
      <c r="I114" s="42"/>
      <c r="J114" s="24"/>
      <c r="K114" s="24"/>
      <c r="L114" s="24"/>
      <c r="M114" s="24"/>
      <c r="N114" s="24"/>
      <c r="O114" s="25"/>
      <c r="P114" s="26"/>
      <c r="Q114" s="25"/>
      <c r="R114" s="26"/>
      <c r="S114" s="25"/>
      <c r="T114" s="26"/>
      <c r="U114" s="25"/>
      <c r="V114" s="26"/>
      <c r="W114" s="36"/>
      <c r="X114" s="39"/>
      <c r="Y114" s="37"/>
      <c r="Z114" s="37"/>
      <c r="AA114" s="37"/>
      <c r="AB114" s="38"/>
      <c r="AC114" s="39"/>
      <c r="AD114" s="37"/>
      <c r="AE114" s="40"/>
      <c r="AF114" s="40"/>
      <c r="AG114" s="32" t="str">
        <f t="shared" si="0"/>
        <v/>
      </c>
      <c r="AH114" s="33">
        <f t="shared" si="1"/>
        <v>0</v>
      </c>
      <c r="AI114" s="34" t="str">
        <f>IFERROR(IF(AG114=0,"",VLOOKUP($D114,Суточные!$A$2:$C$13,3,0)),"")</f>
        <v/>
      </c>
      <c r="AJ114" s="35" t="str">
        <f t="shared" si="4"/>
        <v/>
      </c>
    </row>
    <row r="115" spans="1:36" ht="17.25" customHeight="1">
      <c r="A115" s="53" t="s">
        <v>79</v>
      </c>
      <c r="B115" s="44"/>
      <c r="C115" s="17" t="str">
        <f>IFERROR(VLOOKUP(B115,Инфо!$A$2:$E$89,4,0),"")</f>
        <v/>
      </c>
      <c r="D115" s="18" t="str">
        <f>IFERROR(VLOOKUP($B115,Инфо!$A$3:$E$91,5,0),"")</f>
        <v/>
      </c>
      <c r="E115" s="19" t="str">
        <f>IFERROR(IF(B115=0,"",IF(O115=U115,CONCATENATE(O115," ",VLOOKUP($A$1,Инфо!$K:$M,3,0)),CONCATENATE(O115,"-",U115," ",VLOOKUP($A$1,Инфо!$K:$M,3,0)))),"")</f>
        <v/>
      </c>
      <c r="F115" s="20"/>
      <c r="G115" s="20"/>
      <c r="H115" s="51" t="str">
        <f>IF(F115="авто",VLOOKUP(G115,'Расстояние между городами'!C:D,2,0),"")</f>
        <v/>
      </c>
      <c r="I115" s="42"/>
      <c r="J115" s="24"/>
      <c r="K115" s="24"/>
      <c r="L115" s="24"/>
      <c r="M115" s="24"/>
      <c r="N115" s="24"/>
      <c r="O115" s="25"/>
      <c r="P115" s="26"/>
      <c r="Q115" s="25"/>
      <c r="R115" s="26"/>
      <c r="S115" s="25"/>
      <c r="T115" s="26"/>
      <c r="U115" s="25"/>
      <c r="V115" s="26"/>
      <c r="W115" s="36"/>
      <c r="X115" s="39"/>
      <c r="Y115" s="37"/>
      <c r="Z115" s="37"/>
      <c r="AA115" s="37"/>
      <c r="AB115" s="38"/>
      <c r="AC115" s="39"/>
      <c r="AD115" s="37"/>
      <c r="AE115" s="40"/>
      <c r="AF115" s="40"/>
      <c r="AG115" s="32" t="str">
        <f t="shared" si="0"/>
        <v/>
      </c>
      <c r="AH115" s="33">
        <f t="shared" si="1"/>
        <v>0</v>
      </c>
      <c r="AI115" s="34" t="str">
        <f>IFERROR(IF(AG115=0,"",VLOOKUP($D115,Суточные!$A$2:$C$13,3,0)),"")</f>
        <v/>
      </c>
      <c r="AJ115" s="35" t="str">
        <f t="shared" si="4"/>
        <v/>
      </c>
    </row>
    <row r="116" spans="1:36" ht="17.25" customHeight="1">
      <c r="A116" s="53" t="s">
        <v>79</v>
      </c>
      <c r="B116" s="44"/>
      <c r="C116" s="17" t="str">
        <f>IFERROR(VLOOKUP(B116,Инфо!$A$2:$E$89,4,0),"")</f>
        <v/>
      </c>
      <c r="D116" s="18" t="str">
        <f>IFERROR(VLOOKUP($B116,Инфо!$A$3:$E$91,5,0),"")</f>
        <v/>
      </c>
      <c r="E116" s="19" t="str">
        <f>IFERROR(IF(B116=0,"",IF(O116=U116,CONCATENATE(O116," ",VLOOKUP($A$1,Инфо!$K:$M,3,0)),CONCATENATE(O116,"-",U116," ",VLOOKUP($A$1,Инфо!$K:$M,3,0)))),"")</f>
        <v/>
      </c>
      <c r="F116" s="20"/>
      <c r="G116" s="20"/>
      <c r="H116" s="51" t="str">
        <f>IF(F116="авто",VLOOKUP(G116,'Расстояние между городами'!C:D,2,0),"")</f>
        <v/>
      </c>
      <c r="I116" s="42"/>
      <c r="J116" s="24"/>
      <c r="K116" s="24"/>
      <c r="L116" s="24"/>
      <c r="M116" s="24"/>
      <c r="N116" s="24"/>
      <c r="O116" s="25"/>
      <c r="P116" s="26"/>
      <c r="Q116" s="25"/>
      <c r="R116" s="26"/>
      <c r="S116" s="25"/>
      <c r="T116" s="26"/>
      <c r="U116" s="25"/>
      <c r="V116" s="26"/>
      <c r="W116" s="36"/>
      <c r="X116" s="39"/>
      <c r="Y116" s="37"/>
      <c r="Z116" s="37"/>
      <c r="AA116" s="37"/>
      <c r="AB116" s="38"/>
      <c r="AC116" s="39"/>
      <c r="AD116" s="37"/>
      <c r="AE116" s="40"/>
      <c r="AF116" s="40"/>
      <c r="AG116" s="32" t="str">
        <f t="shared" si="0"/>
        <v/>
      </c>
      <c r="AH116" s="33">
        <f t="shared" si="1"/>
        <v>0</v>
      </c>
      <c r="AI116" s="34" t="str">
        <f>IFERROR(IF(AG116=0,"",VLOOKUP($D116,Суточные!$A$2:$C$13,3,0)),"")</f>
        <v/>
      </c>
      <c r="AJ116" s="35" t="str">
        <f t="shared" si="4"/>
        <v/>
      </c>
    </row>
    <row r="117" spans="1:36" ht="17.25" customHeight="1">
      <c r="A117" s="53" t="s">
        <v>79</v>
      </c>
      <c r="B117" s="44"/>
      <c r="C117" s="17" t="str">
        <f>IFERROR(VLOOKUP(B117,Инфо!$A$2:$E$89,4,0),"")</f>
        <v/>
      </c>
      <c r="D117" s="18" t="str">
        <f>IFERROR(VLOOKUP($B117,Инфо!$A$3:$E$91,5,0),"")</f>
        <v/>
      </c>
      <c r="E117" s="19" t="str">
        <f>IFERROR(IF(B117=0,"",IF(O117=U117,CONCATENATE(O117," ",VLOOKUP($A$1,Инфо!$K:$M,3,0)),CONCATENATE(O117,"-",U117," ",VLOOKUP($A$1,Инфо!$K:$M,3,0)))),"")</f>
        <v/>
      </c>
      <c r="F117" s="20"/>
      <c r="G117" s="20"/>
      <c r="H117" s="51" t="str">
        <f>IF(F117="авто",VLOOKUP(G117,'Расстояние между городами'!C:D,2,0),"")</f>
        <v/>
      </c>
      <c r="I117" s="42"/>
      <c r="J117" s="24"/>
      <c r="K117" s="24"/>
      <c r="L117" s="24"/>
      <c r="M117" s="24"/>
      <c r="N117" s="24"/>
      <c r="O117" s="25"/>
      <c r="P117" s="26"/>
      <c r="Q117" s="25"/>
      <c r="R117" s="26"/>
      <c r="S117" s="25"/>
      <c r="T117" s="26"/>
      <c r="U117" s="25"/>
      <c r="V117" s="26"/>
      <c r="W117" s="36"/>
      <c r="X117" s="39"/>
      <c r="Y117" s="37"/>
      <c r="Z117" s="37"/>
      <c r="AA117" s="37"/>
      <c r="AB117" s="38"/>
      <c r="AC117" s="39"/>
      <c r="AD117" s="37"/>
      <c r="AE117" s="40"/>
      <c r="AF117" s="40"/>
      <c r="AG117" s="32" t="str">
        <f t="shared" si="0"/>
        <v/>
      </c>
      <c r="AH117" s="33">
        <f t="shared" si="1"/>
        <v>0</v>
      </c>
      <c r="AI117" s="34" t="str">
        <f>IFERROR(IF(AG117=0,"",VLOOKUP($D117,Суточные!$A$2:$C$13,3,0)),"")</f>
        <v/>
      </c>
      <c r="AJ117" s="35" t="str">
        <f t="shared" si="4"/>
        <v/>
      </c>
    </row>
    <row r="118" spans="1:36" ht="17.25" customHeight="1">
      <c r="A118" s="53" t="s">
        <v>79</v>
      </c>
      <c r="B118" s="44"/>
      <c r="C118" s="17" t="str">
        <f>IFERROR(VLOOKUP(B118,Инфо!$A$2:$E$89,4,0),"")</f>
        <v/>
      </c>
      <c r="D118" s="18" t="str">
        <f>IFERROR(VLOOKUP($B118,Инфо!$A$3:$E$91,5,0),"")</f>
        <v/>
      </c>
      <c r="E118" s="19" t="str">
        <f>IFERROR(IF(B118=0,"",IF(O118=U118,CONCATENATE(O118," ",VLOOKUP($A$1,Инфо!$K:$M,3,0)),CONCATENATE(O118,"-",U118," ",VLOOKUP($A$1,Инфо!$K:$M,3,0)))),"")</f>
        <v/>
      </c>
      <c r="F118" s="20"/>
      <c r="G118" s="20"/>
      <c r="H118" s="51" t="str">
        <f>IF(F118="авто",VLOOKUP(G118,'Расстояние между городами'!C:D,2,0),"")</f>
        <v/>
      </c>
      <c r="I118" s="42"/>
      <c r="J118" s="24"/>
      <c r="K118" s="24"/>
      <c r="L118" s="24"/>
      <c r="M118" s="24"/>
      <c r="N118" s="24"/>
      <c r="O118" s="25"/>
      <c r="P118" s="26"/>
      <c r="Q118" s="25"/>
      <c r="R118" s="26"/>
      <c r="S118" s="25"/>
      <c r="T118" s="26"/>
      <c r="U118" s="25"/>
      <c r="V118" s="26"/>
      <c r="W118" s="36"/>
      <c r="X118" s="39"/>
      <c r="Y118" s="37"/>
      <c r="Z118" s="37"/>
      <c r="AA118" s="37"/>
      <c r="AB118" s="38"/>
      <c r="AC118" s="39"/>
      <c r="AD118" s="37"/>
      <c r="AE118" s="40"/>
      <c r="AF118" s="40"/>
      <c r="AG118" s="32" t="str">
        <f t="shared" si="0"/>
        <v/>
      </c>
      <c r="AH118" s="33">
        <f t="shared" si="1"/>
        <v>0</v>
      </c>
      <c r="AI118" s="34" t="str">
        <f>IFERROR(IF(AG118=0,"",VLOOKUP($D118,Суточные!$A$2:$C$13,3,0)),"")</f>
        <v/>
      </c>
      <c r="AJ118" s="35" t="str">
        <f t="shared" si="4"/>
        <v/>
      </c>
    </row>
    <row r="119" spans="1:36" ht="17.25" customHeight="1">
      <c r="A119" s="53" t="s">
        <v>79</v>
      </c>
      <c r="B119" s="44"/>
      <c r="C119" s="17" t="str">
        <f>IFERROR(VLOOKUP(B119,Инфо!$A$2:$E$89,4,0),"")</f>
        <v/>
      </c>
      <c r="D119" s="18" t="str">
        <f>IFERROR(VLOOKUP($B119,Инфо!$A$3:$E$91,5,0),"")</f>
        <v/>
      </c>
      <c r="E119" s="19" t="str">
        <f>IFERROR(IF(B119=0,"",IF(O119=U119,CONCATENATE(O119," ",VLOOKUP($A$1,Инфо!$K:$M,3,0)),CONCATENATE(O119,"-",U119," ",VLOOKUP($A$1,Инфо!$K:$M,3,0)))),"")</f>
        <v/>
      </c>
      <c r="F119" s="20"/>
      <c r="G119" s="20"/>
      <c r="H119" s="51" t="str">
        <f>IF(F119="авто",VLOOKUP(G119,'Расстояние между городами'!C:D,2,0),"")</f>
        <v/>
      </c>
      <c r="I119" s="42"/>
      <c r="J119" s="24"/>
      <c r="K119" s="24"/>
      <c r="L119" s="24"/>
      <c r="M119" s="24"/>
      <c r="N119" s="24"/>
      <c r="O119" s="25"/>
      <c r="P119" s="26"/>
      <c r="Q119" s="25"/>
      <c r="R119" s="26"/>
      <c r="S119" s="25"/>
      <c r="T119" s="26"/>
      <c r="U119" s="25"/>
      <c r="V119" s="26"/>
      <c r="W119" s="36"/>
      <c r="X119" s="39"/>
      <c r="Y119" s="37"/>
      <c r="Z119" s="37"/>
      <c r="AA119" s="37"/>
      <c r="AB119" s="38"/>
      <c r="AC119" s="39"/>
      <c r="AD119" s="37"/>
      <c r="AE119" s="40"/>
      <c r="AF119" s="40"/>
      <c r="AG119" s="32" t="str">
        <f t="shared" si="0"/>
        <v/>
      </c>
      <c r="AH119" s="33">
        <f t="shared" si="1"/>
        <v>0</v>
      </c>
      <c r="AI119" s="34" t="str">
        <f>IFERROR(IF(AG119=0,"",VLOOKUP($D119,Суточные!$A$2:$C$13,3,0)),"")</f>
        <v/>
      </c>
      <c r="AJ119" s="35" t="str">
        <f t="shared" si="4"/>
        <v/>
      </c>
    </row>
    <row r="120" spans="1:36" ht="17.25" customHeight="1">
      <c r="A120" s="53" t="s">
        <v>79</v>
      </c>
      <c r="B120" s="44"/>
      <c r="C120" s="17" t="str">
        <f>IFERROR(VLOOKUP(B120,Инфо!$A$2:$E$89,4,0),"")</f>
        <v/>
      </c>
      <c r="D120" s="18" t="str">
        <f>IFERROR(VLOOKUP($B120,Инфо!$A$3:$E$91,5,0),"")</f>
        <v/>
      </c>
      <c r="E120" s="19" t="str">
        <f>IFERROR(IF(B120=0,"",IF(O120=U120,CONCATENATE(O120," ",VLOOKUP($A$1,Инфо!$K:$M,3,0)),CONCATENATE(O120,"-",U120," ",VLOOKUP($A$1,Инфо!$K:$M,3,0)))),"")</f>
        <v/>
      </c>
      <c r="F120" s="20"/>
      <c r="G120" s="20"/>
      <c r="H120" s="51" t="str">
        <f>IF(F120="авто",VLOOKUP(G120,'Расстояние между городами'!C:D,2,0),"")</f>
        <v/>
      </c>
      <c r="I120" s="42"/>
      <c r="J120" s="24"/>
      <c r="K120" s="24"/>
      <c r="L120" s="24"/>
      <c r="M120" s="24"/>
      <c r="N120" s="24"/>
      <c r="O120" s="25"/>
      <c r="P120" s="26"/>
      <c r="Q120" s="25"/>
      <c r="R120" s="26"/>
      <c r="S120" s="25"/>
      <c r="T120" s="26"/>
      <c r="U120" s="25"/>
      <c r="V120" s="26"/>
      <c r="W120" s="36"/>
      <c r="X120" s="39"/>
      <c r="Y120" s="37"/>
      <c r="Z120" s="37"/>
      <c r="AA120" s="37"/>
      <c r="AB120" s="38"/>
      <c r="AC120" s="39"/>
      <c r="AD120" s="37"/>
      <c r="AE120" s="40"/>
      <c r="AF120" s="40"/>
      <c r="AG120" s="32" t="str">
        <f t="shared" si="0"/>
        <v/>
      </c>
      <c r="AH120" s="33">
        <f t="shared" si="1"/>
        <v>0</v>
      </c>
      <c r="AI120" s="34" t="str">
        <f>IFERROR(IF(AG120=0,"",VLOOKUP($D120,Суточные!$A$2:$C$13,3,0)),"")</f>
        <v/>
      </c>
      <c r="AJ120" s="35" t="str">
        <f t="shared" si="4"/>
        <v/>
      </c>
    </row>
    <row r="121" spans="1:36" ht="17.25" customHeight="1">
      <c r="A121" s="53" t="s">
        <v>79</v>
      </c>
      <c r="B121" s="44"/>
      <c r="C121" s="17" t="str">
        <f>IFERROR(VLOOKUP(B121,Инфо!$A$2:$E$89,4,0),"")</f>
        <v/>
      </c>
      <c r="D121" s="18" t="str">
        <f>IFERROR(VLOOKUP($B121,Инфо!$A$3:$E$91,5,0),"")</f>
        <v/>
      </c>
      <c r="E121" s="19" t="str">
        <f>IFERROR(IF(B121=0,"",IF(O121=U121,CONCATENATE(O121," ",VLOOKUP($A$1,Инфо!$K:$M,3,0)),CONCATENATE(O121,"-",U121," ",VLOOKUP($A$1,Инфо!$K:$M,3,0)))),"")</f>
        <v/>
      </c>
      <c r="F121" s="20"/>
      <c r="G121" s="20"/>
      <c r="H121" s="51" t="str">
        <f>IF(F121="авто",VLOOKUP(G121,'Расстояние между городами'!C:D,2,0),"")</f>
        <v/>
      </c>
      <c r="I121" s="42"/>
      <c r="J121" s="24"/>
      <c r="K121" s="24"/>
      <c r="L121" s="24"/>
      <c r="M121" s="24"/>
      <c r="N121" s="24"/>
      <c r="O121" s="25"/>
      <c r="P121" s="26"/>
      <c r="Q121" s="25"/>
      <c r="R121" s="26"/>
      <c r="S121" s="25"/>
      <c r="T121" s="26"/>
      <c r="U121" s="25"/>
      <c r="V121" s="26"/>
      <c r="W121" s="36"/>
      <c r="X121" s="39"/>
      <c r="Y121" s="37"/>
      <c r="Z121" s="37"/>
      <c r="AA121" s="37"/>
      <c r="AB121" s="38"/>
      <c r="AC121" s="39"/>
      <c r="AD121" s="37"/>
      <c r="AE121" s="40"/>
      <c r="AF121" s="40"/>
      <c r="AG121" s="32" t="str">
        <f t="shared" si="0"/>
        <v/>
      </c>
      <c r="AH121" s="33">
        <f t="shared" si="1"/>
        <v>0</v>
      </c>
      <c r="AI121" s="34" t="str">
        <f>IFERROR(IF(AG121=0,"",VLOOKUP($D121,Суточные!$A$2:$C$13,3,0)),"")</f>
        <v/>
      </c>
      <c r="AJ121" s="35" t="str">
        <f t="shared" si="4"/>
        <v/>
      </c>
    </row>
    <row r="122" spans="1:36" ht="17.25" customHeight="1">
      <c r="A122" s="53" t="s">
        <v>79</v>
      </c>
      <c r="B122" s="44"/>
      <c r="C122" s="17" t="str">
        <f>IFERROR(VLOOKUP(B122,Инфо!$A$2:$E$89,4,0),"")</f>
        <v/>
      </c>
      <c r="D122" s="18" t="str">
        <f>IFERROR(VLOOKUP($B122,Инфо!$A$3:$E$91,5,0),"")</f>
        <v/>
      </c>
      <c r="E122" s="19" t="str">
        <f>IFERROR(IF(B122=0,"",IF(O122=U122,CONCATENATE(O122," ",VLOOKUP($A$1,Инфо!$K:$M,3,0)),CONCATENATE(O122,"-",U122," ",VLOOKUP($A$1,Инфо!$K:$M,3,0)))),"")</f>
        <v/>
      </c>
      <c r="F122" s="20"/>
      <c r="G122" s="20"/>
      <c r="H122" s="51" t="str">
        <f>IF(F122="авто",VLOOKUP(G122,'Расстояние между городами'!C:D,2,0),"")</f>
        <v/>
      </c>
      <c r="I122" s="42"/>
      <c r="J122" s="24"/>
      <c r="K122" s="24"/>
      <c r="L122" s="24"/>
      <c r="M122" s="24"/>
      <c r="N122" s="24"/>
      <c r="O122" s="25"/>
      <c r="P122" s="26"/>
      <c r="Q122" s="25"/>
      <c r="R122" s="26"/>
      <c r="S122" s="25"/>
      <c r="T122" s="26"/>
      <c r="U122" s="25"/>
      <c r="V122" s="26"/>
      <c r="W122" s="36"/>
      <c r="X122" s="39"/>
      <c r="Y122" s="37"/>
      <c r="Z122" s="37"/>
      <c r="AA122" s="37"/>
      <c r="AB122" s="38"/>
      <c r="AC122" s="39"/>
      <c r="AD122" s="37"/>
      <c r="AE122" s="40"/>
      <c r="AF122" s="40"/>
      <c r="AG122" s="32" t="str">
        <f t="shared" si="0"/>
        <v/>
      </c>
      <c r="AH122" s="33">
        <f t="shared" si="1"/>
        <v>0</v>
      </c>
      <c r="AI122" s="34" t="str">
        <f>IFERROR(IF(AG122=0,"",VLOOKUP($D122,Суточные!$A$2:$C$13,3,0)),"")</f>
        <v/>
      </c>
      <c r="AJ122" s="35" t="str">
        <f t="shared" si="4"/>
        <v/>
      </c>
    </row>
    <row r="123" spans="1:36" ht="17.25" customHeight="1">
      <c r="A123" s="53" t="s">
        <v>79</v>
      </c>
      <c r="B123" s="44"/>
      <c r="C123" s="17" t="str">
        <f>IFERROR(VLOOKUP(B123,Инфо!$A$2:$E$89,4,0),"")</f>
        <v/>
      </c>
      <c r="D123" s="18" t="str">
        <f>IFERROR(VLOOKUP($B123,Инфо!$A$3:$E$91,5,0),"")</f>
        <v/>
      </c>
      <c r="E123" s="19" t="str">
        <f>IFERROR(IF(B123=0,"",IF(O123=U123,CONCATENATE(O123," ",VLOOKUP($A$1,Инфо!$K:$M,3,0)),CONCATENATE(O123,"-",U123," ",VLOOKUP($A$1,Инфо!$K:$M,3,0)))),"")</f>
        <v/>
      </c>
      <c r="F123" s="20"/>
      <c r="G123" s="20"/>
      <c r="H123" s="51" t="str">
        <f>IF(F123="авто",VLOOKUP(G123,'Расстояние между городами'!C:D,2,0),"")</f>
        <v/>
      </c>
      <c r="I123" s="42"/>
      <c r="J123" s="24"/>
      <c r="K123" s="24"/>
      <c r="L123" s="24"/>
      <c r="M123" s="24"/>
      <c r="N123" s="24"/>
      <c r="O123" s="25"/>
      <c r="P123" s="26"/>
      <c r="Q123" s="25"/>
      <c r="R123" s="26"/>
      <c r="S123" s="25"/>
      <c r="T123" s="26"/>
      <c r="U123" s="25"/>
      <c r="V123" s="26"/>
      <c r="W123" s="36"/>
      <c r="X123" s="39"/>
      <c r="Y123" s="37"/>
      <c r="Z123" s="37"/>
      <c r="AA123" s="37"/>
      <c r="AB123" s="38"/>
      <c r="AC123" s="39"/>
      <c r="AD123" s="37"/>
      <c r="AE123" s="40"/>
      <c r="AF123" s="40"/>
      <c r="AG123" s="32" t="str">
        <f t="shared" si="0"/>
        <v/>
      </c>
      <c r="AH123" s="33">
        <f t="shared" si="1"/>
        <v>0</v>
      </c>
      <c r="AI123" s="34" t="str">
        <f>IFERROR(IF(AG123=0,"",VLOOKUP($D123,Суточные!$A$2:$C$13,3,0)),"")</f>
        <v/>
      </c>
      <c r="AJ123" s="35" t="str">
        <f t="shared" si="4"/>
        <v/>
      </c>
    </row>
    <row r="124" spans="1:36" ht="17.25" customHeight="1">
      <c r="A124" s="53" t="s">
        <v>79</v>
      </c>
      <c r="B124" s="44"/>
      <c r="C124" s="17" t="str">
        <f>IFERROR(VLOOKUP(B124,Инфо!$A$2:$E$89,4,0),"")</f>
        <v/>
      </c>
      <c r="D124" s="18" t="str">
        <f>IFERROR(VLOOKUP($B124,Инфо!$A$3:$E$91,5,0),"")</f>
        <v/>
      </c>
      <c r="E124" s="19" t="str">
        <f>IFERROR(IF(B124=0,"",IF(O124=U124,CONCATENATE(O124," ",VLOOKUP($A$1,Инфо!$K:$M,3,0)),CONCATENATE(O124,"-",U124," ",VLOOKUP($A$1,Инфо!$K:$M,3,0)))),"")</f>
        <v/>
      </c>
      <c r="F124" s="20"/>
      <c r="G124" s="20"/>
      <c r="H124" s="51" t="str">
        <f>IF(F124="авто",VLOOKUP(G124,'Расстояние между городами'!C:D,2,0),"")</f>
        <v/>
      </c>
      <c r="I124" s="42"/>
      <c r="J124" s="24"/>
      <c r="K124" s="24"/>
      <c r="L124" s="24"/>
      <c r="M124" s="24"/>
      <c r="N124" s="24"/>
      <c r="O124" s="25"/>
      <c r="P124" s="26"/>
      <c r="Q124" s="25"/>
      <c r="R124" s="26"/>
      <c r="S124" s="25"/>
      <c r="T124" s="26"/>
      <c r="U124" s="25"/>
      <c r="V124" s="26"/>
      <c r="W124" s="36"/>
      <c r="X124" s="39"/>
      <c r="Y124" s="37"/>
      <c r="Z124" s="37"/>
      <c r="AA124" s="37"/>
      <c r="AB124" s="38"/>
      <c r="AC124" s="39"/>
      <c r="AD124" s="37"/>
      <c r="AE124" s="40"/>
      <c r="AF124" s="40"/>
      <c r="AG124" s="32" t="str">
        <f t="shared" si="0"/>
        <v/>
      </c>
      <c r="AH124" s="33">
        <f t="shared" si="1"/>
        <v>0</v>
      </c>
      <c r="AI124" s="34" t="str">
        <f>IFERROR(IF(AG124=0,"",VLOOKUP($D124,Суточные!$A$2:$C$13,3,0)),"")</f>
        <v/>
      </c>
      <c r="AJ124" s="35" t="str">
        <f t="shared" si="4"/>
        <v/>
      </c>
    </row>
    <row r="125" spans="1:36" ht="17.25" customHeight="1">
      <c r="A125" s="53" t="s">
        <v>79</v>
      </c>
      <c r="B125" s="44"/>
      <c r="C125" s="17" t="str">
        <f>IFERROR(VLOOKUP(B125,Инфо!$A$2:$E$89,4,0),"")</f>
        <v/>
      </c>
      <c r="D125" s="18" t="str">
        <f>IFERROR(VLOOKUP($B125,Инфо!$A$3:$E$91,5,0),"")</f>
        <v/>
      </c>
      <c r="E125" s="19" t="str">
        <f>IFERROR(IF(B125=0,"",IF(O125=U125,CONCATENATE(O125," ",VLOOKUP($A$1,Инфо!$K:$M,3,0)),CONCATENATE(O125,"-",U125," ",VLOOKUP($A$1,Инфо!$K:$M,3,0)))),"")</f>
        <v/>
      </c>
      <c r="F125" s="20"/>
      <c r="G125" s="20"/>
      <c r="H125" s="51" t="str">
        <f>IF(F125="авто",VLOOKUP(G125,'Расстояние между городами'!C:D,2,0),"")</f>
        <v/>
      </c>
      <c r="I125" s="42"/>
      <c r="J125" s="24"/>
      <c r="K125" s="24"/>
      <c r="L125" s="24"/>
      <c r="M125" s="24"/>
      <c r="N125" s="24"/>
      <c r="O125" s="25"/>
      <c r="P125" s="26"/>
      <c r="Q125" s="25"/>
      <c r="R125" s="26"/>
      <c r="S125" s="25"/>
      <c r="T125" s="26"/>
      <c r="U125" s="25"/>
      <c r="V125" s="26"/>
      <c r="W125" s="36"/>
      <c r="X125" s="39"/>
      <c r="Y125" s="37"/>
      <c r="Z125" s="37"/>
      <c r="AA125" s="37"/>
      <c r="AB125" s="38"/>
      <c r="AC125" s="39"/>
      <c r="AD125" s="37"/>
      <c r="AE125" s="40"/>
      <c r="AF125" s="40"/>
      <c r="AG125" s="32" t="str">
        <f t="shared" si="0"/>
        <v/>
      </c>
      <c r="AH125" s="33">
        <f t="shared" si="1"/>
        <v>0</v>
      </c>
      <c r="AI125" s="34" t="str">
        <f>IFERROR(IF(AG125=0,"",VLOOKUP($D125,Суточные!$A$2:$C$13,3,0)),"")</f>
        <v/>
      </c>
      <c r="AJ125" s="35" t="str">
        <f t="shared" si="4"/>
        <v/>
      </c>
    </row>
    <row r="126" spans="1:36" ht="17.25" customHeight="1">
      <c r="A126" s="53" t="s">
        <v>79</v>
      </c>
      <c r="B126" s="44"/>
      <c r="C126" s="17" t="str">
        <f>IFERROR(VLOOKUP(B126,Инфо!$A$2:$E$89,4,0),"")</f>
        <v/>
      </c>
      <c r="D126" s="18" t="str">
        <f>IFERROR(VLOOKUP($B126,Инфо!$A$3:$E$91,5,0),"")</f>
        <v/>
      </c>
      <c r="E126" s="19" t="str">
        <f>IFERROR(IF(B126=0,"",IF(O126=U126,CONCATENATE(O126," ",VLOOKUP($A$1,Инфо!$K:$M,3,0)),CONCATENATE(O126,"-",U126," ",VLOOKUP($A$1,Инфо!$K:$M,3,0)))),"")</f>
        <v/>
      </c>
      <c r="F126" s="20"/>
      <c r="G126" s="20"/>
      <c r="H126" s="51" t="str">
        <f>IF(F126="авто",VLOOKUP(G126,'Расстояние между городами'!C:D,2,0),"")</f>
        <v/>
      </c>
      <c r="I126" s="42"/>
      <c r="J126" s="24"/>
      <c r="K126" s="24"/>
      <c r="L126" s="24"/>
      <c r="M126" s="24"/>
      <c r="N126" s="24"/>
      <c r="O126" s="25"/>
      <c r="P126" s="26"/>
      <c r="Q126" s="25"/>
      <c r="R126" s="26"/>
      <c r="S126" s="25"/>
      <c r="T126" s="26"/>
      <c r="U126" s="25"/>
      <c r="V126" s="26"/>
      <c r="W126" s="36"/>
      <c r="X126" s="39"/>
      <c r="Y126" s="37"/>
      <c r="Z126" s="37"/>
      <c r="AA126" s="37"/>
      <c r="AB126" s="38"/>
      <c r="AC126" s="39"/>
      <c r="AD126" s="37"/>
      <c r="AE126" s="40"/>
      <c r="AF126" s="40"/>
      <c r="AG126" s="32" t="str">
        <f t="shared" si="0"/>
        <v/>
      </c>
      <c r="AH126" s="33">
        <f t="shared" si="1"/>
        <v>0</v>
      </c>
      <c r="AI126" s="34" t="str">
        <f>IFERROR(IF(AG126=0,"",VLOOKUP($D126,Суточные!$A$2:$C$13,3,0)),"")</f>
        <v/>
      </c>
      <c r="AJ126" s="35" t="str">
        <f t="shared" si="4"/>
        <v/>
      </c>
    </row>
    <row r="127" spans="1:36" ht="17.25" customHeight="1">
      <c r="A127" s="53" t="s">
        <v>79</v>
      </c>
      <c r="B127" s="44"/>
      <c r="C127" s="17" t="str">
        <f>IFERROR(VLOOKUP(B127,Инфо!$A$2:$E$89,4,0),"")</f>
        <v/>
      </c>
      <c r="D127" s="18" t="str">
        <f>IFERROR(VLOOKUP($B127,Инфо!$A$3:$E$91,5,0),"")</f>
        <v/>
      </c>
      <c r="E127" s="19" t="str">
        <f>IFERROR(IF(B127=0,"",IF(O127=U127,CONCATENATE(O127," ",VLOOKUP($A$1,Инфо!$K:$M,3,0)),CONCATENATE(O127,"-",U127," ",VLOOKUP($A$1,Инфо!$K:$M,3,0)))),"")</f>
        <v/>
      </c>
      <c r="F127" s="20"/>
      <c r="G127" s="20"/>
      <c r="H127" s="51" t="str">
        <f>IF(F127="авто",VLOOKUP(G127,'Расстояние между городами'!C:D,2,0),"")</f>
        <v/>
      </c>
      <c r="I127" s="42"/>
      <c r="J127" s="24"/>
      <c r="K127" s="24"/>
      <c r="L127" s="24"/>
      <c r="M127" s="24"/>
      <c r="N127" s="24"/>
      <c r="O127" s="25"/>
      <c r="P127" s="26"/>
      <c r="Q127" s="25"/>
      <c r="R127" s="26"/>
      <c r="S127" s="25"/>
      <c r="T127" s="26"/>
      <c r="U127" s="25"/>
      <c r="V127" s="26"/>
      <c r="W127" s="36"/>
      <c r="X127" s="39"/>
      <c r="Y127" s="37"/>
      <c r="Z127" s="37"/>
      <c r="AA127" s="37"/>
      <c r="AB127" s="38"/>
      <c r="AC127" s="39"/>
      <c r="AD127" s="37"/>
      <c r="AE127" s="40"/>
      <c r="AF127" s="40"/>
      <c r="AG127" s="32" t="str">
        <f t="shared" si="0"/>
        <v/>
      </c>
      <c r="AH127" s="33">
        <f t="shared" si="1"/>
        <v>0</v>
      </c>
      <c r="AI127" s="34" t="str">
        <f>IFERROR(IF(AG127=0,"",VLOOKUP($D127,Суточные!$A$2:$C$13,3,0)),"")</f>
        <v/>
      </c>
      <c r="AJ127" s="35" t="str">
        <f t="shared" si="4"/>
        <v/>
      </c>
    </row>
    <row r="128" spans="1:36" ht="17.25" customHeight="1">
      <c r="A128" s="53" t="s">
        <v>79</v>
      </c>
      <c r="B128" s="44"/>
      <c r="C128" s="17" t="str">
        <f>IFERROR(VLOOKUP(B128,Инфо!$A$2:$E$89,4,0),"")</f>
        <v/>
      </c>
      <c r="D128" s="18" t="str">
        <f>IFERROR(VLOOKUP($B128,Инфо!$A$3:$E$91,5,0),"")</f>
        <v/>
      </c>
      <c r="E128" s="19" t="str">
        <f>IFERROR(IF(B128=0,"",IF(O128=U128,CONCATENATE(O128," ",VLOOKUP($A$1,Инфо!$K:$M,3,0)),CONCATENATE(O128,"-",U128," ",VLOOKUP($A$1,Инфо!$K:$M,3,0)))),"")</f>
        <v/>
      </c>
      <c r="F128" s="20"/>
      <c r="G128" s="20"/>
      <c r="H128" s="51" t="str">
        <f>IF(F128="авто",VLOOKUP(G128,'Расстояние между городами'!C:D,2,0),"")</f>
        <v/>
      </c>
      <c r="I128" s="42"/>
      <c r="J128" s="24"/>
      <c r="K128" s="24"/>
      <c r="L128" s="24"/>
      <c r="M128" s="24"/>
      <c r="N128" s="24"/>
      <c r="O128" s="25"/>
      <c r="P128" s="26"/>
      <c r="Q128" s="25"/>
      <c r="R128" s="26"/>
      <c r="S128" s="25"/>
      <c r="T128" s="26"/>
      <c r="U128" s="25"/>
      <c r="V128" s="26"/>
      <c r="W128" s="36"/>
      <c r="X128" s="39"/>
      <c r="Y128" s="37"/>
      <c r="Z128" s="37"/>
      <c r="AA128" s="37"/>
      <c r="AB128" s="38"/>
      <c r="AC128" s="39"/>
      <c r="AD128" s="37"/>
      <c r="AE128" s="40"/>
      <c r="AF128" s="40"/>
      <c r="AG128" s="32" t="str">
        <f t="shared" si="0"/>
        <v/>
      </c>
      <c r="AH128" s="33">
        <f t="shared" si="1"/>
        <v>0</v>
      </c>
      <c r="AI128" s="34" t="str">
        <f>IFERROR(IF(AG128=0,"",VLOOKUP($D128,Суточные!$A$2:$C$13,3,0)),"")</f>
        <v/>
      </c>
      <c r="AJ128" s="35" t="str">
        <f t="shared" si="4"/>
        <v/>
      </c>
    </row>
    <row r="129" spans="1:36" ht="17.25" customHeight="1">
      <c r="A129" s="53" t="s">
        <v>79</v>
      </c>
      <c r="B129" s="44"/>
      <c r="C129" s="17" t="str">
        <f>IFERROR(VLOOKUP(B129,Инфо!$A$2:$E$89,4,0),"")</f>
        <v/>
      </c>
      <c r="D129" s="18" t="str">
        <f>IFERROR(VLOOKUP($B129,Инфо!$A$3:$E$91,5,0),"")</f>
        <v/>
      </c>
      <c r="E129" s="19" t="str">
        <f>IFERROR(IF(B129=0,"",IF(O129=U129,CONCATENATE(O129," ",VLOOKUP($A$1,Инфо!$K:$M,3,0)),CONCATENATE(O129,"-",U129," ",VLOOKUP($A$1,Инфо!$K:$M,3,0)))),"")</f>
        <v/>
      </c>
      <c r="F129" s="20"/>
      <c r="G129" s="20"/>
      <c r="H129" s="51" t="str">
        <f>IF(F129="авто",VLOOKUP(G129,'Расстояние между городами'!C:D,2,0),"")</f>
        <v/>
      </c>
      <c r="I129" s="42"/>
      <c r="J129" s="24"/>
      <c r="K129" s="24"/>
      <c r="L129" s="24"/>
      <c r="M129" s="24"/>
      <c r="N129" s="24"/>
      <c r="O129" s="25"/>
      <c r="P129" s="26"/>
      <c r="Q129" s="25"/>
      <c r="R129" s="26"/>
      <c r="S129" s="25"/>
      <c r="T129" s="26"/>
      <c r="U129" s="25"/>
      <c r="V129" s="26"/>
      <c r="W129" s="36"/>
      <c r="X129" s="39"/>
      <c r="Y129" s="37"/>
      <c r="Z129" s="37"/>
      <c r="AA129" s="37"/>
      <c r="AB129" s="38"/>
      <c r="AC129" s="39"/>
      <c r="AD129" s="37"/>
      <c r="AE129" s="40"/>
      <c r="AF129" s="40"/>
      <c r="AG129" s="32" t="str">
        <f t="shared" si="0"/>
        <v/>
      </c>
      <c r="AH129" s="33">
        <f t="shared" si="1"/>
        <v>0</v>
      </c>
      <c r="AI129" s="34" t="str">
        <f>IFERROR(IF(AG129=0,"",VLOOKUP($D129,Суточные!$A$2:$C$13,3,0)),"")</f>
        <v/>
      </c>
      <c r="AJ129" s="35" t="str">
        <f t="shared" si="4"/>
        <v/>
      </c>
    </row>
    <row r="130" spans="1:36" ht="17.25" customHeight="1">
      <c r="A130" s="53" t="s">
        <v>79</v>
      </c>
      <c r="B130" s="44"/>
      <c r="C130" s="17" t="str">
        <f>IFERROR(VLOOKUP(B130,Инфо!$A$2:$E$89,4,0),"")</f>
        <v/>
      </c>
      <c r="D130" s="18" t="str">
        <f>IFERROR(VLOOKUP($B130,Инфо!$A$3:$E$91,5,0),"")</f>
        <v/>
      </c>
      <c r="E130" s="19" t="str">
        <f>IFERROR(IF(B130=0,"",IF(O130=U130,CONCATENATE(O130," ",VLOOKUP($A$1,Инфо!$K:$M,3,0)),CONCATENATE(O130,"-",U130," ",VLOOKUP($A$1,Инфо!$K:$M,3,0)))),"")</f>
        <v/>
      </c>
      <c r="F130" s="20"/>
      <c r="G130" s="20"/>
      <c r="H130" s="51" t="str">
        <f>IF(F130="авто",VLOOKUP(G130,'Расстояние между городами'!C:D,2,0),"")</f>
        <v/>
      </c>
      <c r="I130" s="42"/>
      <c r="J130" s="24"/>
      <c r="K130" s="24"/>
      <c r="L130" s="24"/>
      <c r="M130" s="24"/>
      <c r="N130" s="24"/>
      <c r="O130" s="25"/>
      <c r="P130" s="26"/>
      <c r="Q130" s="25"/>
      <c r="R130" s="26"/>
      <c r="S130" s="25"/>
      <c r="T130" s="26"/>
      <c r="U130" s="25"/>
      <c r="V130" s="26"/>
      <c r="W130" s="36"/>
      <c r="X130" s="39"/>
      <c r="Y130" s="37"/>
      <c r="Z130" s="37"/>
      <c r="AA130" s="37"/>
      <c r="AB130" s="38"/>
      <c r="AC130" s="39"/>
      <c r="AD130" s="37"/>
      <c r="AE130" s="40"/>
      <c r="AF130" s="40"/>
      <c r="AG130" s="32" t="str">
        <f t="shared" si="0"/>
        <v/>
      </c>
      <c r="AH130" s="33">
        <f t="shared" si="1"/>
        <v>0</v>
      </c>
      <c r="AI130" s="34" t="str">
        <f>IFERROR(IF(AG130=0,"",VLOOKUP($D130,Суточные!$A$2:$C$13,3,0)),"")</f>
        <v/>
      </c>
      <c r="AJ130" s="35" t="str">
        <f t="shared" si="4"/>
        <v/>
      </c>
    </row>
    <row r="131" spans="1:36" ht="17.25" customHeight="1">
      <c r="A131" s="53" t="s">
        <v>79</v>
      </c>
      <c r="B131" s="44"/>
      <c r="C131" s="17" t="str">
        <f>IFERROR(VLOOKUP(B131,Инфо!$A$2:$E$89,4,0),"")</f>
        <v/>
      </c>
      <c r="D131" s="18" t="str">
        <f>IFERROR(VLOOKUP($B131,Инфо!$A$3:$E$91,5,0),"")</f>
        <v/>
      </c>
      <c r="E131" s="19" t="str">
        <f>IFERROR(IF(B131=0,"",IF(O131=U131,CONCATENATE(O131," ",VLOOKUP($A$1,Инфо!$K:$M,3,0)),CONCATENATE(O131,"-",U131," ",VLOOKUP($A$1,Инфо!$K:$M,3,0)))),"")</f>
        <v/>
      </c>
      <c r="F131" s="20"/>
      <c r="G131" s="20"/>
      <c r="H131" s="51" t="str">
        <f>IF(F131="авто",VLOOKUP(G131,'Расстояние между городами'!C:D,2,0),"")</f>
        <v/>
      </c>
      <c r="I131" s="42"/>
      <c r="J131" s="24"/>
      <c r="K131" s="24"/>
      <c r="L131" s="24"/>
      <c r="M131" s="24"/>
      <c r="N131" s="24"/>
      <c r="O131" s="25"/>
      <c r="P131" s="26"/>
      <c r="Q131" s="25"/>
      <c r="R131" s="26"/>
      <c r="S131" s="25"/>
      <c r="T131" s="26"/>
      <c r="U131" s="25"/>
      <c r="V131" s="26"/>
      <c r="W131" s="36"/>
      <c r="X131" s="39"/>
      <c r="Y131" s="37"/>
      <c r="Z131" s="37"/>
      <c r="AA131" s="37"/>
      <c r="AB131" s="38"/>
      <c r="AC131" s="39"/>
      <c r="AD131" s="37"/>
      <c r="AE131" s="40"/>
      <c r="AF131" s="40"/>
      <c r="AG131" s="32" t="str">
        <f t="shared" si="0"/>
        <v/>
      </c>
      <c r="AH131" s="33">
        <f t="shared" si="1"/>
        <v>0</v>
      </c>
      <c r="AI131" s="34" t="str">
        <f>IFERROR(IF(AG131=0,"",VLOOKUP($D131,Суточные!$A$2:$C$13,3,0)),"")</f>
        <v/>
      </c>
      <c r="AJ131" s="35" t="str">
        <f t="shared" si="4"/>
        <v/>
      </c>
    </row>
    <row r="132" spans="1:36" ht="17.25" customHeight="1">
      <c r="A132" s="53" t="s">
        <v>79</v>
      </c>
      <c r="B132" s="44"/>
      <c r="C132" s="17" t="str">
        <f>IFERROR(VLOOKUP(B132,Инфо!$A$2:$E$89,4,0),"")</f>
        <v/>
      </c>
      <c r="D132" s="18" t="str">
        <f>IFERROR(VLOOKUP($B132,Инфо!$A$3:$E$91,5,0),"")</f>
        <v/>
      </c>
      <c r="E132" s="19" t="str">
        <f>IFERROR(IF(B132=0,"",IF(O132=U132,CONCATENATE(O132," ",VLOOKUP($A$1,Инфо!$K:$M,3,0)),CONCATENATE(O132,"-",U132," ",VLOOKUP($A$1,Инфо!$K:$M,3,0)))),"")</f>
        <v/>
      </c>
      <c r="F132" s="20"/>
      <c r="G132" s="20"/>
      <c r="H132" s="51" t="str">
        <f>IF(F132="авто",VLOOKUP(G132,'Расстояние между городами'!C:D,2,0),"")</f>
        <v/>
      </c>
      <c r="I132" s="42"/>
      <c r="J132" s="24"/>
      <c r="K132" s="24"/>
      <c r="L132" s="24"/>
      <c r="M132" s="24"/>
      <c r="N132" s="24"/>
      <c r="O132" s="25"/>
      <c r="P132" s="26"/>
      <c r="Q132" s="25"/>
      <c r="R132" s="26"/>
      <c r="S132" s="25"/>
      <c r="T132" s="26"/>
      <c r="U132" s="25"/>
      <c r="V132" s="26"/>
      <c r="W132" s="36"/>
      <c r="X132" s="39"/>
      <c r="Y132" s="37"/>
      <c r="Z132" s="37"/>
      <c r="AA132" s="37"/>
      <c r="AB132" s="38"/>
      <c r="AC132" s="39"/>
      <c r="AD132" s="37"/>
      <c r="AE132" s="40"/>
      <c r="AF132" s="40"/>
      <c r="AG132" s="32" t="str">
        <f t="shared" si="0"/>
        <v/>
      </c>
      <c r="AH132" s="33">
        <f t="shared" si="1"/>
        <v>0</v>
      </c>
      <c r="AI132" s="34" t="str">
        <f>IFERROR(IF(AG132=0,"",VLOOKUP($D132,Суточные!$A$2:$C$13,3,0)),"")</f>
        <v/>
      </c>
      <c r="AJ132" s="35" t="str">
        <f t="shared" si="4"/>
        <v/>
      </c>
    </row>
    <row r="133" spans="1:36" ht="17.25" customHeight="1">
      <c r="A133" s="53" t="s">
        <v>79</v>
      </c>
      <c r="B133" s="44"/>
      <c r="C133" s="17" t="str">
        <f>IFERROR(VLOOKUP(B133,Инфо!$A$2:$E$89,4,0),"")</f>
        <v/>
      </c>
      <c r="D133" s="18" t="str">
        <f>IFERROR(VLOOKUP($B133,Инфо!$A$3:$E$91,5,0),"")</f>
        <v/>
      </c>
      <c r="E133" s="19" t="str">
        <f>IFERROR(IF(B133=0,"",IF(O133=U133,CONCATENATE(O133," ",VLOOKUP($A$1,Инфо!$K:$M,3,0)),CONCATENATE(O133,"-",U133," ",VLOOKUP($A$1,Инфо!$K:$M,3,0)))),"")</f>
        <v/>
      </c>
      <c r="F133" s="20"/>
      <c r="G133" s="20"/>
      <c r="H133" s="51" t="str">
        <f>IF(F133="авто",VLOOKUP(G133,'Расстояние между городами'!C:D,2,0),"")</f>
        <v/>
      </c>
      <c r="I133" s="42"/>
      <c r="J133" s="24"/>
      <c r="K133" s="24"/>
      <c r="L133" s="24"/>
      <c r="M133" s="24"/>
      <c r="N133" s="24"/>
      <c r="O133" s="25"/>
      <c r="P133" s="26"/>
      <c r="Q133" s="25"/>
      <c r="R133" s="26"/>
      <c r="S133" s="25"/>
      <c r="T133" s="26"/>
      <c r="U133" s="25"/>
      <c r="V133" s="26"/>
      <c r="W133" s="36"/>
      <c r="X133" s="39"/>
      <c r="Y133" s="37"/>
      <c r="Z133" s="37"/>
      <c r="AA133" s="37"/>
      <c r="AB133" s="38"/>
      <c r="AC133" s="39"/>
      <c r="AD133" s="37"/>
      <c r="AE133" s="40"/>
      <c r="AF133" s="40"/>
      <c r="AG133" s="32" t="str">
        <f t="shared" si="0"/>
        <v/>
      </c>
      <c r="AH133" s="33">
        <f t="shared" si="1"/>
        <v>0</v>
      </c>
      <c r="AI133" s="34" t="str">
        <f>IFERROR(IF(AG133=0,"",VLOOKUP($D133,Суточные!$A$2:$C$13,3,0)),"")</f>
        <v/>
      </c>
      <c r="AJ133" s="35" t="str">
        <f t="shared" si="4"/>
        <v/>
      </c>
    </row>
    <row r="134" spans="1:36" ht="17.25" customHeight="1">
      <c r="A134" s="53" t="s">
        <v>79</v>
      </c>
      <c r="B134" s="44"/>
      <c r="C134" s="17" t="str">
        <f>IFERROR(VLOOKUP(B134,Инфо!$A$2:$E$89,4,0),"")</f>
        <v/>
      </c>
      <c r="D134" s="18" t="str">
        <f>IFERROR(VLOOKUP($B134,Инфо!$A$3:$E$91,5,0),"")</f>
        <v/>
      </c>
      <c r="E134" s="19" t="str">
        <f>IFERROR(IF(B134=0,"",IF(O134=U134,CONCATENATE(O134," ",VLOOKUP($A$1,Инфо!$K:$M,3,0)),CONCATENATE(O134,"-",U134," ",VLOOKUP($A$1,Инфо!$K:$M,3,0)))),"")</f>
        <v/>
      </c>
      <c r="F134" s="20"/>
      <c r="G134" s="20"/>
      <c r="H134" s="51" t="str">
        <f>IF(F134="авто",VLOOKUP(G134,'Расстояние между городами'!C:D,2,0),"")</f>
        <v/>
      </c>
      <c r="I134" s="42"/>
      <c r="J134" s="24"/>
      <c r="K134" s="24"/>
      <c r="L134" s="24"/>
      <c r="M134" s="24"/>
      <c r="N134" s="24"/>
      <c r="O134" s="25"/>
      <c r="P134" s="26"/>
      <c r="Q134" s="25"/>
      <c r="R134" s="26"/>
      <c r="S134" s="25"/>
      <c r="T134" s="26"/>
      <c r="U134" s="25"/>
      <c r="V134" s="26"/>
      <c r="W134" s="36"/>
      <c r="X134" s="39"/>
      <c r="Y134" s="37"/>
      <c r="Z134" s="37"/>
      <c r="AA134" s="37"/>
      <c r="AB134" s="38"/>
      <c r="AC134" s="39"/>
      <c r="AD134" s="37"/>
      <c r="AE134" s="40"/>
      <c r="AF134" s="40"/>
      <c r="AG134" s="32" t="str">
        <f t="shared" si="0"/>
        <v/>
      </c>
      <c r="AH134" s="33">
        <f t="shared" si="1"/>
        <v>0</v>
      </c>
      <c r="AI134" s="34" t="str">
        <f>IFERROR(IF(AG134=0,"",VLOOKUP($D134,Суточные!$A$2:$C$13,3,0)),"")</f>
        <v/>
      </c>
      <c r="AJ134" s="35" t="str">
        <f t="shared" si="4"/>
        <v/>
      </c>
    </row>
    <row r="135" spans="1:36" ht="17.25" customHeight="1">
      <c r="A135" s="53" t="s">
        <v>79</v>
      </c>
      <c r="B135" s="44"/>
      <c r="C135" s="17" t="str">
        <f>IFERROR(VLOOKUP(B135,Инфо!$A$2:$E$89,4,0),"")</f>
        <v/>
      </c>
      <c r="D135" s="18" t="str">
        <f>IFERROR(VLOOKUP($B135,Инфо!$A$3:$E$91,5,0),"")</f>
        <v/>
      </c>
      <c r="E135" s="19" t="str">
        <f>IFERROR(IF(B135=0,"",IF(O135=U135,CONCATENATE(O135," ",VLOOKUP($A$1,Инфо!$K:$M,3,0)),CONCATENATE(O135,"-",U135," ",VLOOKUP($A$1,Инфо!$K:$M,3,0)))),"")</f>
        <v/>
      </c>
      <c r="F135" s="20"/>
      <c r="G135" s="20"/>
      <c r="H135" s="51" t="str">
        <f>IF(F135="авто",VLOOKUP(G135,'Расстояние между городами'!C:D,2,0),"")</f>
        <v/>
      </c>
      <c r="I135" s="42"/>
      <c r="J135" s="24"/>
      <c r="K135" s="24"/>
      <c r="L135" s="24"/>
      <c r="M135" s="24"/>
      <c r="N135" s="24"/>
      <c r="O135" s="25"/>
      <c r="P135" s="26"/>
      <c r="Q135" s="25"/>
      <c r="R135" s="26"/>
      <c r="S135" s="25"/>
      <c r="T135" s="26"/>
      <c r="U135" s="25"/>
      <c r="V135" s="26"/>
      <c r="W135" s="36"/>
      <c r="X135" s="39"/>
      <c r="Y135" s="37"/>
      <c r="Z135" s="37"/>
      <c r="AA135" s="37"/>
      <c r="AB135" s="38"/>
      <c r="AC135" s="39"/>
      <c r="AD135" s="37"/>
      <c r="AE135" s="40"/>
      <c r="AF135" s="40"/>
      <c r="AG135" s="32" t="str">
        <f t="shared" si="0"/>
        <v/>
      </c>
      <c r="AH135" s="33">
        <f t="shared" si="1"/>
        <v>0</v>
      </c>
      <c r="AI135" s="34" t="str">
        <f>IFERROR(IF(AG135=0,"",VLOOKUP($D135,Суточные!$A$2:$C$13,3,0)),"")</f>
        <v/>
      </c>
      <c r="AJ135" s="35" t="str">
        <f t="shared" si="4"/>
        <v/>
      </c>
    </row>
    <row r="136" spans="1:36" ht="17.25" customHeight="1">
      <c r="A136" s="53" t="s">
        <v>79</v>
      </c>
      <c r="B136" s="44"/>
      <c r="C136" s="17" t="str">
        <f>IFERROR(VLOOKUP(B136,Инфо!$A$2:$E$89,4,0),"")</f>
        <v/>
      </c>
      <c r="D136" s="18" t="str">
        <f>IFERROR(VLOOKUP($B136,Инфо!$A$3:$E$91,5,0),"")</f>
        <v/>
      </c>
      <c r="E136" s="19" t="str">
        <f>IFERROR(IF(B136=0,"",IF(O136=U136,CONCATENATE(O136," ",VLOOKUP($A$1,Инфо!$K:$M,3,0)),CONCATENATE(O136,"-",U136," ",VLOOKUP($A$1,Инфо!$K:$M,3,0)))),"")</f>
        <v/>
      </c>
      <c r="F136" s="20"/>
      <c r="G136" s="20"/>
      <c r="H136" s="51" t="str">
        <f>IF(F136="авто",VLOOKUP(G136,'Расстояние между городами'!C:D,2,0),"")</f>
        <v/>
      </c>
      <c r="I136" s="42"/>
      <c r="J136" s="24"/>
      <c r="K136" s="24"/>
      <c r="L136" s="24"/>
      <c r="M136" s="24"/>
      <c r="N136" s="24"/>
      <c r="O136" s="25"/>
      <c r="P136" s="26"/>
      <c r="Q136" s="25"/>
      <c r="R136" s="26"/>
      <c r="S136" s="25"/>
      <c r="T136" s="26"/>
      <c r="U136" s="25"/>
      <c r="V136" s="26"/>
      <c r="W136" s="36"/>
      <c r="X136" s="39"/>
      <c r="Y136" s="37"/>
      <c r="Z136" s="37"/>
      <c r="AA136" s="37"/>
      <c r="AB136" s="38"/>
      <c r="AC136" s="39"/>
      <c r="AD136" s="37"/>
      <c r="AE136" s="40"/>
      <c r="AF136" s="40"/>
      <c r="AG136" s="32" t="str">
        <f t="shared" ref="AG136:AG145" si="5">IF(V136=0,"",AH136+1)</f>
        <v/>
      </c>
      <c r="AH136" s="33">
        <f t="shared" si="1"/>
        <v>0</v>
      </c>
      <c r="AI136" s="34" t="str">
        <f>IFERROR(IF(AG136=0,"",VLOOKUP($D136,Суточные!$A$2:$C$13,3,0)),"")</f>
        <v/>
      </c>
      <c r="AJ136" s="35" t="str">
        <f t="shared" si="4"/>
        <v/>
      </c>
    </row>
    <row r="137" spans="1:36" ht="17.25" customHeight="1">
      <c r="A137" s="53" t="s">
        <v>79</v>
      </c>
      <c r="B137" s="44"/>
      <c r="C137" s="17" t="str">
        <f>IFERROR(VLOOKUP(B137,Инфо!$A$2:$E$89,4,0),"")</f>
        <v/>
      </c>
      <c r="D137" s="18" t="str">
        <f>IFERROR(VLOOKUP($B137,Инфо!$A$3:$E$91,5,0),"")</f>
        <v/>
      </c>
      <c r="E137" s="19" t="str">
        <f>IFERROR(IF(B137=0,"",IF(O137=U137,CONCATENATE(O137," ",VLOOKUP($A$1,Инфо!$K:$M,3,0)),CONCATENATE(O137,"-",U137," ",VLOOKUP($A$1,Инфо!$K:$M,3,0)))),"")</f>
        <v/>
      </c>
      <c r="F137" s="20"/>
      <c r="G137" s="20"/>
      <c r="H137" s="51" t="str">
        <f>IF(F137="авто",VLOOKUP(G137,'Расстояние между городами'!C:D,2,0),"")</f>
        <v/>
      </c>
      <c r="I137" s="42"/>
      <c r="J137" s="24"/>
      <c r="K137" s="24"/>
      <c r="L137" s="24"/>
      <c r="M137" s="24"/>
      <c r="N137" s="24"/>
      <c r="O137" s="25"/>
      <c r="P137" s="26"/>
      <c r="Q137" s="25"/>
      <c r="R137" s="26"/>
      <c r="S137" s="25"/>
      <c r="T137" s="26"/>
      <c r="U137" s="25"/>
      <c r="V137" s="26"/>
      <c r="W137" s="36"/>
      <c r="X137" s="39"/>
      <c r="Y137" s="37"/>
      <c r="Z137" s="37"/>
      <c r="AA137" s="37"/>
      <c r="AB137" s="38"/>
      <c r="AC137" s="39"/>
      <c r="AD137" s="37"/>
      <c r="AE137" s="40"/>
      <c r="AF137" s="40"/>
      <c r="AG137" s="32" t="str">
        <f t="shared" si="5"/>
        <v/>
      </c>
      <c r="AH137" s="33">
        <f t="shared" si="1"/>
        <v>0</v>
      </c>
      <c r="AI137" s="34" t="str">
        <f>IFERROR(IF(AG137=0,"",VLOOKUP($D137,Суточные!$A$2:$C$13,3,0)),"")</f>
        <v/>
      </c>
      <c r="AJ137" s="35" t="str">
        <f t="shared" si="4"/>
        <v/>
      </c>
    </row>
    <row r="138" spans="1:36" ht="17.25" customHeight="1">
      <c r="A138" s="53" t="s">
        <v>79</v>
      </c>
      <c r="B138" s="44"/>
      <c r="C138" s="17" t="str">
        <f>IFERROR(VLOOKUP(B138,Инфо!$A$2:$E$89,4,0),"")</f>
        <v/>
      </c>
      <c r="D138" s="18" t="str">
        <f>IFERROR(VLOOKUP($B138,Инфо!$A$3:$E$91,5,0),"")</f>
        <v/>
      </c>
      <c r="E138" s="19" t="str">
        <f>IFERROR(IF(B138=0,"",IF(O138=U138,CONCATENATE(O138," ",VLOOKUP($A$1,Инфо!$K:$M,3,0)),CONCATENATE(O138,"-",U138," ",VLOOKUP($A$1,Инфо!$K:$M,3,0)))),"")</f>
        <v/>
      </c>
      <c r="F138" s="20"/>
      <c r="G138" s="20"/>
      <c r="H138" s="51" t="str">
        <f>IF(F138="авто",VLOOKUP(G138,'Расстояние между городами'!C:D,2,0),"")</f>
        <v/>
      </c>
      <c r="I138" s="42"/>
      <c r="J138" s="24"/>
      <c r="K138" s="24"/>
      <c r="L138" s="24"/>
      <c r="M138" s="24"/>
      <c r="N138" s="24"/>
      <c r="O138" s="25"/>
      <c r="P138" s="26"/>
      <c r="Q138" s="25"/>
      <c r="R138" s="26"/>
      <c r="S138" s="25"/>
      <c r="T138" s="26"/>
      <c r="U138" s="25"/>
      <c r="V138" s="26"/>
      <c r="W138" s="36"/>
      <c r="X138" s="39"/>
      <c r="Y138" s="37"/>
      <c r="Z138" s="37"/>
      <c r="AA138" s="37"/>
      <c r="AB138" s="38"/>
      <c r="AC138" s="39"/>
      <c r="AD138" s="37"/>
      <c r="AE138" s="40"/>
      <c r="AF138" s="40"/>
      <c r="AG138" s="32" t="str">
        <f t="shared" si="5"/>
        <v/>
      </c>
      <c r="AH138" s="33">
        <f t="shared" si="1"/>
        <v>0</v>
      </c>
      <c r="AI138" s="34" t="str">
        <f>IFERROR(IF(AG138=0,"",VLOOKUP($D138,Суточные!$A$2:$C$13,3,0)),"")</f>
        <v/>
      </c>
      <c r="AJ138" s="35" t="str">
        <f t="shared" si="4"/>
        <v/>
      </c>
    </row>
    <row r="139" spans="1:36" ht="17.25" customHeight="1">
      <c r="A139" s="53" t="s">
        <v>79</v>
      </c>
      <c r="B139" s="44"/>
      <c r="C139" s="17" t="str">
        <f>IFERROR(VLOOKUP(B139,Инфо!$A$2:$E$89,4,0),"")</f>
        <v/>
      </c>
      <c r="D139" s="18" t="str">
        <f>IFERROR(VLOOKUP($B139,Инфо!$A$3:$E$91,5,0),"")</f>
        <v/>
      </c>
      <c r="E139" s="19" t="str">
        <f>IFERROR(IF(B139=0,"",IF(O139=U139,CONCATENATE(O139," ",VLOOKUP($A$1,Инфо!$K:$M,3,0)),CONCATENATE(O139,"-",U139," ",VLOOKUP($A$1,Инфо!$K:$M,3,0)))),"")</f>
        <v/>
      </c>
      <c r="F139" s="20"/>
      <c r="G139" s="20"/>
      <c r="H139" s="51" t="str">
        <f>IF(F139="авто",VLOOKUP(G139,'Расстояние между городами'!C:D,2,0),"")</f>
        <v/>
      </c>
      <c r="I139" s="42"/>
      <c r="J139" s="24"/>
      <c r="K139" s="24"/>
      <c r="L139" s="24"/>
      <c r="M139" s="24"/>
      <c r="N139" s="24"/>
      <c r="O139" s="25"/>
      <c r="P139" s="26"/>
      <c r="Q139" s="25"/>
      <c r="R139" s="26"/>
      <c r="S139" s="25"/>
      <c r="T139" s="26"/>
      <c r="U139" s="25"/>
      <c r="V139" s="26"/>
      <c r="W139" s="36"/>
      <c r="X139" s="39"/>
      <c r="Y139" s="37"/>
      <c r="Z139" s="37"/>
      <c r="AA139" s="37"/>
      <c r="AB139" s="38"/>
      <c r="AC139" s="39"/>
      <c r="AD139" s="37"/>
      <c r="AE139" s="40"/>
      <c r="AF139" s="40"/>
      <c r="AG139" s="32" t="str">
        <f t="shared" si="5"/>
        <v/>
      </c>
      <c r="AH139" s="33">
        <f t="shared" si="1"/>
        <v>0</v>
      </c>
      <c r="AI139" s="34" t="str">
        <f>IFERROR(IF(AG139=0,"",VLOOKUP($D139,Суточные!$A$2:$C$13,3,0)),"")</f>
        <v/>
      </c>
      <c r="AJ139" s="35" t="str">
        <f t="shared" si="4"/>
        <v/>
      </c>
    </row>
    <row r="140" spans="1:36" ht="17.25" customHeight="1">
      <c r="A140" s="53" t="s">
        <v>79</v>
      </c>
      <c r="B140" s="44"/>
      <c r="C140" s="17" t="str">
        <f>IFERROR(VLOOKUP(B140,Инфо!$A$2:$E$89,4,0),"")</f>
        <v/>
      </c>
      <c r="D140" s="18" t="str">
        <f>IFERROR(VLOOKUP($B140,Инфо!$A$3:$E$91,5,0),"")</f>
        <v/>
      </c>
      <c r="E140" s="19" t="str">
        <f>IFERROR(IF(B140=0,"",IF(O140=U140,CONCATENATE(O140," ",VLOOKUP($A$1,Инфо!$K:$M,3,0)),CONCATENATE(O140,"-",U140," ",VLOOKUP($A$1,Инфо!$K:$M,3,0)))),"")</f>
        <v/>
      </c>
      <c r="F140" s="20"/>
      <c r="G140" s="20"/>
      <c r="H140" s="51" t="str">
        <f>IF(F140="авто",VLOOKUP(G140,'Расстояние между городами'!C:D,2,0),"")</f>
        <v/>
      </c>
      <c r="I140" s="42"/>
      <c r="J140" s="24"/>
      <c r="K140" s="24"/>
      <c r="L140" s="24"/>
      <c r="M140" s="24"/>
      <c r="N140" s="24"/>
      <c r="O140" s="25"/>
      <c r="P140" s="26"/>
      <c r="Q140" s="25"/>
      <c r="R140" s="26"/>
      <c r="S140" s="25"/>
      <c r="T140" s="26"/>
      <c r="U140" s="25"/>
      <c r="V140" s="26"/>
      <c r="W140" s="36"/>
      <c r="X140" s="39"/>
      <c r="Y140" s="37"/>
      <c r="Z140" s="37"/>
      <c r="AA140" s="37"/>
      <c r="AB140" s="38"/>
      <c r="AC140" s="39"/>
      <c r="AD140" s="37"/>
      <c r="AE140" s="40"/>
      <c r="AF140" s="40"/>
      <c r="AG140" s="32" t="str">
        <f t="shared" si="5"/>
        <v/>
      </c>
      <c r="AH140" s="33">
        <f t="shared" si="1"/>
        <v>0</v>
      </c>
      <c r="AI140" s="34" t="str">
        <f>IFERROR(IF(AG140=0,"",VLOOKUP($D140,Суточные!$A$2:$C$13,3,0)),"")</f>
        <v/>
      </c>
      <c r="AJ140" s="35" t="str">
        <f t="shared" si="4"/>
        <v/>
      </c>
    </row>
    <row r="141" spans="1:36" ht="17.25" customHeight="1">
      <c r="A141" s="53" t="s">
        <v>79</v>
      </c>
      <c r="B141" s="44"/>
      <c r="C141" s="17" t="str">
        <f>IFERROR(VLOOKUP(B141,Инфо!$A$2:$E$89,4,0),"")</f>
        <v/>
      </c>
      <c r="D141" s="18" t="str">
        <f>IFERROR(VLOOKUP($B141,Инфо!$A$3:$E$91,5,0),"")</f>
        <v/>
      </c>
      <c r="E141" s="19" t="str">
        <f>IFERROR(IF(B141=0,"",IF(O141=U141,CONCATENATE(O141," ",VLOOKUP($A$1,Инфо!$K:$M,3,0)),CONCATENATE(O141,"-",U141," ",VLOOKUP($A$1,Инфо!$K:$M,3,0)))),"")</f>
        <v/>
      </c>
      <c r="F141" s="20"/>
      <c r="G141" s="20"/>
      <c r="H141" s="51" t="str">
        <f>IF(F141="авто",VLOOKUP(G141,'Расстояние между городами'!C:D,2,0),"")</f>
        <v/>
      </c>
      <c r="I141" s="42"/>
      <c r="J141" s="24"/>
      <c r="K141" s="24"/>
      <c r="L141" s="24"/>
      <c r="M141" s="24"/>
      <c r="N141" s="24"/>
      <c r="O141" s="25"/>
      <c r="P141" s="26"/>
      <c r="Q141" s="25"/>
      <c r="R141" s="26"/>
      <c r="S141" s="25"/>
      <c r="T141" s="26"/>
      <c r="U141" s="25"/>
      <c r="V141" s="26"/>
      <c r="W141" s="36"/>
      <c r="X141" s="39"/>
      <c r="Y141" s="37"/>
      <c r="Z141" s="37"/>
      <c r="AA141" s="37"/>
      <c r="AB141" s="38"/>
      <c r="AC141" s="39"/>
      <c r="AD141" s="37"/>
      <c r="AE141" s="40"/>
      <c r="AF141" s="40"/>
      <c r="AG141" s="32" t="str">
        <f t="shared" si="5"/>
        <v/>
      </c>
      <c r="AH141" s="33">
        <f t="shared" si="1"/>
        <v>0</v>
      </c>
      <c r="AI141" s="34" t="str">
        <f>IFERROR(IF(AG141=0,"",VLOOKUP($D141,Суточные!$A$2:$C$13,3,0)),"")</f>
        <v/>
      </c>
      <c r="AJ141" s="35" t="str">
        <f t="shared" si="4"/>
        <v/>
      </c>
    </row>
    <row r="142" spans="1:36" ht="17.25" customHeight="1">
      <c r="A142" s="53" t="s">
        <v>79</v>
      </c>
      <c r="B142" s="44"/>
      <c r="C142" s="17" t="str">
        <f>IFERROR(VLOOKUP(B142,Инфо!$A$2:$E$89,4,0),"")</f>
        <v/>
      </c>
      <c r="D142" s="18" t="str">
        <f>IFERROR(VLOOKUP($B142,Инфо!$A$3:$E$91,5,0),"")</f>
        <v/>
      </c>
      <c r="E142" s="19" t="str">
        <f>IFERROR(IF(B142=0,"",IF(O142=U142,CONCATENATE(O142," ",VLOOKUP($A$1,Инфо!$K:$M,3,0)),CONCATENATE(O142,"-",U142," ",VLOOKUP($A$1,Инфо!$K:$M,3,0)))),"")</f>
        <v/>
      </c>
      <c r="F142" s="20"/>
      <c r="G142" s="20"/>
      <c r="H142" s="51" t="str">
        <f>IF(F142="авто",VLOOKUP(G142,'Расстояние между городами'!C:D,2,0),"")</f>
        <v/>
      </c>
      <c r="I142" s="42"/>
      <c r="J142" s="24"/>
      <c r="K142" s="24"/>
      <c r="L142" s="24"/>
      <c r="M142" s="24"/>
      <c r="N142" s="24"/>
      <c r="O142" s="25"/>
      <c r="P142" s="26"/>
      <c r="Q142" s="25"/>
      <c r="R142" s="26"/>
      <c r="S142" s="25"/>
      <c r="T142" s="26"/>
      <c r="U142" s="25"/>
      <c r="V142" s="26"/>
      <c r="W142" s="36"/>
      <c r="X142" s="39"/>
      <c r="Y142" s="37"/>
      <c r="Z142" s="37"/>
      <c r="AA142" s="37"/>
      <c r="AB142" s="38"/>
      <c r="AC142" s="39"/>
      <c r="AD142" s="37"/>
      <c r="AE142" s="40"/>
      <c r="AF142" s="40"/>
      <c r="AG142" s="32" t="str">
        <f t="shared" si="5"/>
        <v/>
      </c>
      <c r="AH142" s="33">
        <f t="shared" si="1"/>
        <v>0</v>
      </c>
      <c r="AI142" s="34" t="str">
        <f>IFERROR(IF(AG142=0,"",VLOOKUP($D142,Суточные!$A$2:$C$13,3,0)),"")</f>
        <v/>
      </c>
      <c r="AJ142" s="35" t="str">
        <f t="shared" si="4"/>
        <v/>
      </c>
    </row>
    <row r="143" spans="1:36" ht="17.25" customHeight="1">
      <c r="A143" s="53" t="s">
        <v>79</v>
      </c>
      <c r="B143" s="44"/>
      <c r="C143" s="17" t="str">
        <f>IFERROR(VLOOKUP(B143,Инфо!$A$2:$E$89,4,0),"")</f>
        <v/>
      </c>
      <c r="D143" s="18" t="str">
        <f>IFERROR(VLOOKUP($B143,Инфо!$A$3:$E$91,5,0),"")</f>
        <v/>
      </c>
      <c r="E143" s="19" t="str">
        <f>IFERROR(IF(B143=0,"",IF(O143=U143,CONCATENATE(O143," ",VLOOKUP($A$1,Инфо!$K:$M,3,0)),CONCATENATE(O143,"-",U143," ",VLOOKUP($A$1,Инфо!$K:$M,3,0)))),"")</f>
        <v/>
      </c>
      <c r="F143" s="20"/>
      <c r="G143" s="20"/>
      <c r="H143" s="51" t="str">
        <f>IF(F143="авто",VLOOKUP(G143,'Расстояние между городами'!C:D,2,0),"")</f>
        <v/>
      </c>
      <c r="I143" s="42"/>
      <c r="J143" s="24"/>
      <c r="K143" s="24"/>
      <c r="L143" s="24"/>
      <c r="M143" s="24"/>
      <c r="N143" s="24"/>
      <c r="O143" s="25"/>
      <c r="P143" s="26"/>
      <c r="Q143" s="25"/>
      <c r="R143" s="26"/>
      <c r="S143" s="25"/>
      <c r="T143" s="26"/>
      <c r="U143" s="25"/>
      <c r="V143" s="26"/>
      <c r="W143" s="36"/>
      <c r="X143" s="39"/>
      <c r="Y143" s="37"/>
      <c r="Z143" s="37"/>
      <c r="AA143" s="37"/>
      <c r="AB143" s="38"/>
      <c r="AC143" s="39"/>
      <c r="AD143" s="37"/>
      <c r="AE143" s="40"/>
      <c r="AF143" s="40"/>
      <c r="AG143" s="32" t="str">
        <f t="shared" si="5"/>
        <v/>
      </c>
      <c r="AH143" s="33">
        <f t="shared" si="1"/>
        <v>0</v>
      </c>
      <c r="AI143" s="34" t="str">
        <f>IFERROR(IF(AG143=0,"",VLOOKUP($D143,Суточные!$A$2:$C$13,3,0)),"")</f>
        <v/>
      </c>
      <c r="AJ143" s="35" t="str">
        <f t="shared" si="4"/>
        <v/>
      </c>
    </row>
    <row r="144" spans="1:36" ht="17.25" customHeight="1">
      <c r="A144" s="53" t="s">
        <v>79</v>
      </c>
      <c r="B144" s="44"/>
      <c r="C144" s="17" t="str">
        <f>IFERROR(VLOOKUP(B144,Инфо!$A$2:$E$89,4,0),"")</f>
        <v/>
      </c>
      <c r="D144" s="18" t="str">
        <f>IFERROR(VLOOKUP($B144,Инфо!$A$3:$E$91,5,0),"")</f>
        <v/>
      </c>
      <c r="E144" s="19" t="str">
        <f>IFERROR(IF(B144=0,"",IF(O144=U144,CONCATENATE(O144," ",VLOOKUP($A$1,Инфо!$K:$M,3,0)),CONCATENATE(O144,"-",U144," ",VLOOKUP($A$1,Инфо!$K:$M,3,0)))),"")</f>
        <v/>
      </c>
      <c r="F144" s="20"/>
      <c r="G144" s="20"/>
      <c r="H144" s="51" t="str">
        <f>IF(F144="авто",VLOOKUP(G144,'Расстояние между городами'!C:D,2,0),"")</f>
        <v/>
      </c>
      <c r="I144" s="42"/>
      <c r="J144" s="24"/>
      <c r="K144" s="24"/>
      <c r="L144" s="24"/>
      <c r="M144" s="24"/>
      <c r="N144" s="24"/>
      <c r="O144" s="25"/>
      <c r="P144" s="26"/>
      <c r="Q144" s="25"/>
      <c r="R144" s="26"/>
      <c r="S144" s="25"/>
      <c r="T144" s="26"/>
      <c r="U144" s="25"/>
      <c r="V144" s="26"/>
      <c r="W144" s="36"/>
      <c r="X144" s="39"/>
      <c r="Y144" s="37"/>
      <c r="Z144" s="37"/>
      <c r="AA144" s="37"/>
      <c r="AB144" s="38"/>
      <c r="AC144" s="39"/>
      <c r="AD144" s="37"/>
      <c r="AE144" s="40"/>
      <c r="AF144" s="40"/>
      <c r="AG144" s="32" t="str">
        <f t="shared" si="5"/>
        <v/>
      </c>
      <c r="AH144" s="33">
        <f t="shared" si="1"/>
        <v>0</v>
      </c>
      <c r="AI144" s="34" t="str">
        <f>IFERROR(IF(AG144=0,"",VLOOKUP($D144,Суточные!$A$2:$C$13,3,0)),"")</f>
        <v/>
      </c>
      <c r="AJ144" s="35" t="str">
        <f t="shared" si="4"/>
        <v/>
      </c>
    </row>
    <row r="145" spans="1:36" ht="17.25" customHeight="1">
      <c r="A145" s="53" t="s">
        <v>79</v>
      </c>
      <c r="B145" s="44"/>
      <c r="C145" s="17" t="str">
        <f>IFERROR(VLOOKUP(B145,Инфо!$A$2:$E$89,4,0),"")</f>
        <v/>
      </c>
      <c r="D145" s="18" t="str">
        <f>IFERROR(VLOOKUP($B145,Инфо!$A$3:$E$91,5,0),"")</f>
        <v/>
      </c>
      <c r="E145" s="19" t="str">
        <f>IFERROR(IF(B145=0,"",IF(O145=U145,CONCATENATE(O145," ",VLOOKUP($A$1,Инфо!$K:$M,3,0)),CONCATENATE(O145,"-",U145," ",VLOOKUP($A$1,Инфо!$K:$M,3,0)))),"")</f>
        <v/>
      </c>
      <c r="F145" s="20"/>
      <c r="G145" s="20"/>
      <c r="H145" s="51" t="str">
        <f>IF(F145="авто",VLOOKUP(G145,'Расстояние между городами'!C:D,2,0),"")</f>
        <v/>
      </c>
      <c r="I145" s="42"/>
      <c r="J145" s="24"/>
      <c r="K145" s="24"/>
      <c r="L145" s="24"/>
      <c r="M145" s="24"/>
      <c r="N145" s="24"/>
      <c r="O145" s="25"/>
      <c r="P145" s="26"/>
      <c r="Q145" s="25"/>
      <c r="R145" s="26"/>
      <c r="S145" s="25"/>
      <c r="T145" s="26"/>
      <c r="U145" s="25"/>
      <c r="V145" s="26"/>
      <c r="W145" s="36"/>
      <c r="X145" s="39"/>
      <c r="Y145" s="37"/>
      <c r="Z145" s="37"/>
      <c r="AA145" s="37"/>
      <c r="AB145" s="38"/>
      <c r="AC145" s="39"/>
      <c r="AD145" s="37"/>
      <c r="AE145" s="40"/>
      <c r="AF145" s="40"/>
      <c r="AG145" s="32" t="str">
        <f t="shared" si="5"/>
        <v/>
      </c>
      <c r="AH145" s="33">
        <f t="shared" si="1"/>
        <v>0</v>
      </c>
      <c r="AI145" s="34" t="str">
        <f>IFERROR(IF(AG145=0,"",VLOOKUP($D145,Суточные!$A$2:$C$13,3,0)),"")</f>
        <v/>
      </c>
      <c r="AJ145" s="35" t="str">
        <f t="shared" si="4"/>
        <v/>
      </c>
    </row>
    <row r="146" spans="1:36" ht="15.75" customHeight="1">
      <c r="A146" s="54"/>
      <c r="B146" s="55" t="s">
        <v>80</v>
      </c>
      <c r="C146" s="56" t="str">
        <f>IFERROR(VLOOKUP(B146,Инфо!$A$2:$E$89,4,0),"")</f>
        <v/>
      </c>
      <c r="D146" s="57" t="str">
        <f>IFERROR(VLOOKUP($B146,Инфо!$A$3:$E$91,5,0),"")</f>
        <v/>
      </c>
      <c r="E146" s="58"/>
      <c r="F146" s="59"/>
      <c r="G146" s="60"/>
      <c r="H146" s="61" t="str">
        <f>IF(F146="авто",VLOOKUP(G146,'Расстояние между городами'!C:D,2,0),"")</f>
        <v/>
      </c>
      <c r="I146" s="59"/>
      <c r="J146" s="62"/>
      <c r="K146" s="62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63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64">
        <f>SUM(AJ2:AJ72)</f>
        <v>28900</v>
      </c>
    </row>
    <row r="147" spans="1:36" ht="15.75" customHeight="1">
      <c r="A147" s="53"/>
      <c r="B147" s="65"/>
      <c r="C147" s="65"/>
      <c r="D147" s="65"/>
      <c r="E147" s="66"/>
      <c r="F147" s="65"/>
      <c r="G147" s="67"/>
      <c r="H147" s="65"/>
      <c r="I147" s="65"/>
      <c r="J147" s="68"/>
      <c r="K147" s="68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</row>
    <row r="148" spans="1:36" ht="15.75" customHeight="1">
      <c r="A148" s="53"/>
      <c r="B148" s="65"/>
      <c r="C148" s="65"/>
      <c r="D148" s="65"/>
      <c r="E148" s="66"/>
      <c r="F148" s="65"/>
      <c r="G148" s="67"/>
      <c r="H148" s="65"/>
      <c r="I148" s="65"/>
      <c r="J148" s="68"/>
      <c r="K148" s="68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</row>
    <row r="149" spans="1:36" ht="15.75" customHeight="1">
      <c r="A149" s="53"/>
      <c r="B149" s="65"/>
      <c r="C149" s="65"/>
      <c r="D149" s="65"/>
      <c r="E149" s="66"/>
      <c r="F149" s="65"/>
      <c r="G149" s="67"/>
      <c r="H149" s="65"/>
      <c r="I149" s="65"/>
      <c r="J149" s="68"/>
      <c r="K149" s="68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</row>
    <row r="150" spans="1:36" ht="15.75" customHeight="1">
      <c r="A150" s="53"/>
      <c r="B150" s="65"/>
      <c r="C150" s="65"/>
      <c r="D150" s="65"/>
      <c r="E150" s="66"/>
      <c r="F150" s="65"/>
      <c r="G150" s="67"/>
      <c r="H150" s="65"/>
      <c r="I150" s="65"/>
      <c r="J150" s="68"/>
      <c r="K150" s="68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</row>
    <row r="151" spans="1:36" ht="15.75" customHeight="1">
      <c r="A151" s="53"/>
      <c r="B151" s="65"/>
      <c r="C151" s="65"/>
      <c r="D151" s="65"/>
      <c r="E151" s="66"/>
      <c r="F151" s="65"/>
      <c r="G151" s="67"/>
      <c r="H151" s="65"/>
      <c r="I151" s="65"/>
      <c r="J151" s="68"/>
      <c r="K151" s="68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</row>
    <row r="152" spans="1:36" ht="15.75" customHeight="1">
      <c r="A152" s="53"/>
      <c r="B152" s="65"/>
      <c r="C152" s="65"/>
      <c r="D152" s="65"/>
      <c r="E152" s="66"/>
      <c r="F152" s="65"/>
      <c r="G152" s="67"/>
      <c r="H152" s="65"/>
      <c r="I152" s="65"/>
      <c r="J152" s="68"/>
      <c r="K152" s="68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</row>
    <row r="153" spans="1:36" ht="15.75" customHeight="1">
      <c r="A153" s="53"/>
      <c r="B153" s="65"/>
      <c r="C153" s="65"/>
      <c r="D153" s="65"/>
      <c r="E153" s="66"/>
      <c r="F153" s="65"/>
      <c r="G153" s="67"/>
      <c r="H153" s="65"/>
      <c r="I153" s="65"/>
      <c r="J153" s="68"/>
      <c r="K153" s="68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</row>
    <row r="154" spans="1:36" ht="15.75" customHeight="1">
      <c r="A154" s="53"/>
      <c r="B154" s="65"/>
      <c r="C154" s="65"/>
      <c r="D154" s="65"/>
      <c r="E154" s="66"/>
      <c r="F154" s="65"/>
      <c r="G154" s="67"/>
      <c r="H154" s="65"/>
      <c r="I154" s="65"/>
      <c r="J154" s="68"/>
      <c r="K154" s="68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</row>
    <row r="155" spans="1:36" ht="15.75" customHeight="1">
      <c r="A155" s="53"/>
      <c r="B155" s="65"/>
      <c r="C155" s="65"/>
      <c r="D155" s="65"/>
      <c r="E155" s="66"/>
      <c r="F155" s="65"/>
      <c r="G155" s="67"/>
      <c r="H155" s="65"/>
      <c r="I155" s="65"/>
      <c r="J155" s="68"/>
      <c r="K155" s="68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</row>
    <row r="156" spans="1:36" ht="15.75" customHeight="1">
      <c r="A156" s="53"/>
      <c r="B156" s="65"/>
      <c r="C156" s="65"/>
      <c r="D156" s="65"/>
      <c r="E156" s="66"/>
      <c r="F156" s="65"/>
      <c r="G156" s="67"/>
      <c r="H156" s="65"/>
      <c r="I156" s="65"/>
      <c r="J156" s="68"/>
      <c r="K156" s="68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</row>
    <row r="157" spans="1:36" ht="15.75" customHeight="1">
      <c r="A157" s="53"/>
      <c r="B157" s="65"/>
      <c r="C157" s="65"/>
      <c r="D157" s="65"/>
      <c r="E157" s="66"/>
      <c r="F157" s="65"/>
      <c r="G157" s="67"/>
      <c r="H157" s="65"/>
      <c r="I157" s="65"/>
      <c r="J157" s="68"/>
      <c r="K157" s="68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</row>
    <row r="158" spans="1:36" ht="15.75" customHeight="1">
      <c r="A158" s="53"/>
      <c r="B158" s="65"/>
      <c r="C158" s="65"/>
      <c r="D158" s="65"/>
      <c r="E158" s="66"/>
      <c r="F158" s="65"/>
      <c r="G158" s="67"/>
      <c r="H158" s="65"/>
      <c r="I158" s="65"/>
      <c r="J158" s="68"/>
      <c r="K158" s="68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</row>
    <row r="159" spans="1:36" ht="15.75" customHeight="1">
      <c r="A159" s="53"/>
      <c r="B159" s="65"/>
      <c r="C159" s="65"/>
      <c r="D159" s="65"/>
      <c r="E159" s="66"/>
      <c r="F159" s="65"/>
      <c r="G159" s="67"/>
      <c r="H159" s="65"/>
      <c r="I159" s="65"/>
      <c r="J159" s="68"/>
      <c r="K159" s="68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</row>
    <row r="160" spans="1:36" ht="15.75" customHeight="1">
      <c r="A160" s="53"/>
      <c r="B160" s="65"/>
      <c r="C160" s="65"/>
      <c r="D160" s="65"/>
      <c r="E160" s="66"/>
      <c r="F160" s="65"/>
      <c r="G160" s="67"/>
      <c r="H160" s="65"/>
      <c r="I160" s="65"/>
      <c r="J160" s="68"/>
      <c r="K160" s="68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</row>
    <row r="161" spans="1:36" ht="15.75" customHeight="1">
      <c r="A161" s="53"/>
      <c r="B161" s="65"/>
      <c r="C161" s="65"/>
      <c r="D161" s="65"/>
      <c r="E161" s="66"/>
      <c r="F161" s="65"/>
      <c r="G161" s="67"/>
      <c r="H161" s="65"/>
      <c r="I161" s="65"/>
      <c r="J161" s="68"/>
      <c r="K161" s="68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</row>
    <row r="162" spans="1:36" ht="15.75" customHeight="1">
      <c r="A162" s="53"/>
      <c r="B162" s="65"/>
      <c r="C162" s="65"/>
      <c r="D162" s="65"/>
      <c r="E162" s="66"/>
      <c r="F162" s="65"/>
      <c r="G162" s="67"/>
      <c r="H162" s="65"/>
      <c r="I162" s="65"/>
      <c r="J162" s="68"/>
      <c r="K162" s="68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</row>
    <row r="163" spans="1:36" ht="15.75" customHeight="1">
      <c r="A163" s="53"/>
      <c r="B163" s="65"/>
      <c r="C163" s="65"/>
      <c r="D163" s="65"/>
      <c r="E163" s="66"/>
      <c r="F163" s="65"/>
      <c r="G163" s="67"/>
      <c r="H163" s="65"/>
      <c r="I163" s="65"/>
      <c r="J163" s="68"/>
      <c r="K163" s="68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</row>
    <row r="164" spans="1:36" ht="15.75" customHeight="1">
      <c r="A164" s="53"/>
      <c r="B164" s="65"/>
      <c r="C164" s="65"/>
      <c r="D164" s="65"/>
      <c r="E164" s="66"/>
      <c r="F164" s="65"/>
      <c r="G164" s="67"/>
      <c r="H164" s="65"/>
      <c r="I164" s="65"/>
      <c r="J164" s="68"/>
      <c r="K164" s="68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</row>
    <row r="165" spans="1:36" ht="15.75" customHeight="1">
      <c r="A165" s="53"/>
      <c r="B165" s="65"/>
      <c r="C165" s="65"/>
      <c r="D165" s="65"/>
      <c r="E165" s="66"/>
      <c r="F165" s="65"/>
      <c r="G165" s="67"/>
      <c r="H165" s="65"/>
      <c r="I165" s="65"/>
      <c r="J165" s="68"/>
      <c r="K165" s="68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</row>
    <row r="166" spans="1:36" ht="15.75" customHeight="1">
      <c r="A166" s="53"/>
      <c r="B166" s="65"/>
      <c r="C166" s="65"/>
      <c r="D166" s="65"/>
      <c r="E166" s="66"/>
      <c r="F166" s="65"/>
      <c r="G166" s="67"/>
      <c r="H166" s="65"/>
      <c r="I166" s="65"/>
      <c r="J166" s="68"/>
      <c r="K166" s="68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</row>
    <row r="167" spans="1:36" ht="15.75" customHeight="1">
      <c r="A167" s="53"/>
      <c r="B167" s="65"/>
      <c r="C167" s="65"/>
      <c r="D167" s="65"/>
      <c r="E167" s="66"/>
      <c r="F167" s="65"/>
      <c r="G167" s="67"/>
      <c r="H167" s="65"/>
      <c r="I167" s="65"/>
      <c r="J167" s="68"/>
      <c r="K167" s="68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</row>
    <row r="168" spans="1:36" ht="15.75" customHeight="1">
      <c r="A168" s="53"/>
      <c r="B168" s="65"/>
      <c r="C168" s="65"/>
      <c r="D168" s="65"/>
      <c r="E168" s="66"/>
      <c r="F168" s="65"/>
      <c r="G168" s="67"/>
      <c r="H168" s="65"/>
      <c r="I168" s="65"/>
      <c r="J168" s="68"/>
      <c r="K168" s="68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</row>
    <row r="169" spans="1:36" ht="15.75" customHeight="1">
      <c r="A169" s="53"/>
      <c r="B169" s="65"/>
      <c r="C169" s="65"/>
      <c r="D169" s="65"/>
      <c r="E169" s="66"/>
      <c r="F169" s="65"/>
      <c r="G169" s="67"/>
      <c r="H169" s="65"/>
      <c r="I169" s="65"/>
      <c r="J169" s="68"/>
      <c r="K169" s="68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</row>
    <row r="170" spans="1:36" ht="15.75" customHeight="1">
      <c r="A170" s="53"/>
      <c r="B170" s="65"/>
      <c r="C170" s="65"/>
      <c r="D170" s="65"/>
      <c r="E170" s="66"/>
      <c r="F170" s="65"/>
      <c r="G170" s="67"/>
      <c r="H170" s="65"/>
      <c r="I170" s="65"/>
      <c r="J170" s="68"/>
      <c r="K170" s="68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</row>
    <row r="171" spans="1:36" ht="15.75" customHeight="1">
      <c r="A171" s="53"/>
      <c r="B171" s="65"/>
      <c r="C171" s="65"/>
      <c r="D171" s="65"/>
      <c r="E171" s="66"/>
      <c r="F171" s="65"/>
      <c r="G171" s="67"/>
      <c r="H171" s="65"/>
      <c r="I171" s="65"/>
      <c r="J171" s="68"/>
      <c r="K171" s="68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</row>
    <row r="172" spans="1:36" ht="15.75" customHeight="1">
      <c r="A172" s="53"/>
      <c r="B172" s="65"/>
      <c r="C172" s="65"/>
      <c r="D172" s="65"/>
      <c r="E172" s="66"/>
      <c r="F172" s="65"/>
      <c r="G172" s="67"/>
      <c r="H172" s="65"/>
      <c r="I172" s="65"/>
      <c r="J172" s="68"/>
      <c r="K172" s="68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</row>
    <row r="173" spans="1:36" ht="15.75" customHeight="1">
      <c r="A173" s="53"/>
      <c r="B173" s="65"/>
      <c r="C173" s="65"/>
      <c r="D173" s="65"/>
      <c r="E173" s="66"/>
      <c r="F173" s="65"/>
      <c r="G173" s="67"/>
      <c r="H173" s="65"/>
      <c r="I173" s="65"/>
      <c r="J173" s="68"/>
      <c r="K173" s="68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</row>
    <row r="174" spans="1:36" ht="15.75" customHeight="1">
      <c r="A174" s="53"/>
      <c r="B174" s="65"/>
      <c r="C174" s="65"/>
      <c r="D174" s="65"/>
      <c r="E174" s="66"/>
      <c r="F174" s="65"/>
      <c r="G174" s="67"/>
      <c r="H174" s="65"/>
      <c r="I174" s="65"/>
      <c r="J174" s="68"/>
      <c r="K174" s="68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</row>
    <row r="175" spans="1:36" ht="15.75" customHeight="1">
      <c r="A175" s="53"/>
      <c r="B175" s="65"/>
      <c r="C175" s="65"/>
      <c r="D175" s="65"/>
      <c r="E175" s="66"/>
      <c r="F175" s="65"/>
      <c r="G175" s="67"/>
      <c r="H175" s="65"/>
      <c r="I175" s="65"/>
      <c r="J175" s="68"/>
      <c r="K175" s="68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</row>
    <row r="176" spans="1:36" ht="15.75" customHeight="1">
      <c r="A176" s="53"/>
      <c r="B176" s="65"/>
      <c r="C176" s="65"/>
      <c r="D176" s="65"/>
      <c r="E176" s="66"/>
      <c r="F176" s="65"/>
      <c r="G176" s="67"/>
      <c r="H176" s="65"/>
      <c r="I176" s="65"/>
      <c r="J176" s="68"/>
      <c r="K176" s="68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</row>
    <row r="177" spans="1:36" ht="15.75" customHeight="1">
      <c r="A177" s="53"/>
      <c r="B177" s="65"/>
      <c r="C177" s="65"/>
      <c r="D177" s="65"/>
      <c r="E177" s="66"/>
      <c r="F177" s="65"/>
      <c r="G177" s="67"/>
      <c r="H177" s="65"/>
      <c r="I177" s="65"/>
      <c r="J177" s="68"/>
      <c r="K177" s="68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</row>
    <row r="178" spans="1:36" ht="15.75" customHeight="1">
      <c r="A178" s="53"/>
      <c r="B178" s="65"/>
      <c r="C178" s="65"/>
      <c r="D178" s="65"/>
      <c r="E178" s="66"/>
      <c r="F178" s="65"/>
      <c r="G178" s="67"/>
      <c r="H178" s="65"/>
      <c r="I178" s="65"/>
      <c r="J178" s="68"/>
      <c r="K178" s="68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</row>
    <row r="179" spans="1:36" ht="15.75" customHeight="1">
      <c r="A179" s="53"/>
      <c r="B179" s="65"/>
      <c r="C179" s="65"/>
      <c r="D179" s="65"/>
      <c r="E179" s="66"/>
      <c r="F179" s="65"/>
      <c r="G179" s="67"/>
      <c r="H179" s="65"/>
      <c r="I179" s="65"/>
      <c r="J179" s="68"/>
      <c r="K179" s="68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</row>
    <row r="180" spans="1:36" ht="15.75" customHeight="1">
      <c r="A180" s="53"/>
      <c r="B180" s="65"/>
      <c r="C180" s="65"/>
      <c r="D180" s="65"/>
      <c r="E180" s="66"/>
      <c r="F180" s="65"/>
      <c r="G180" s="67"/>
      <c r="H180" s="65"/>
      <c r="I180" s="65"/>
      <c r="J180" s="68"/>
      <c r="K180" s="68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</row>
    <row r="181" spans="1:36" ht="15.75" customHeight="1">
      <c r="A181" s="53"/>
      <c r="B181" s="65"/>
      <c r="C181" s="65"/>
      <c r="D181" s="65"/>
      <c r="E181" s="66"/>
      <c r="F181" s="65"/>
      <c r="G181" s="67"/>
      <c r="H181" s="65"/>
      <c r="I181" s="65"/>
      <c r="J181" s="68"/>
      <c r="K181" s="68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</row>
    <row r="182" spans="1:36" ht="15.75" customHeight="1">
      <c r="A182" s="53"/>
      <c r="B182" s="65"/>
      <c r="C182" s="65"/>
      <c r="D182" s="65"/>
      <c r="E182" s="66"/>
      <c r="F182" s="65"/>
      <c r="G182" s="67"/>
      <c r="H182" s="65"/>
      <c r="I182" s="65"/>
      <c r="J182" s="68"/>
      <c r="K182" s="68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</row>
    <row r="183" spans="1:36" ht="15.75" customHeight="1">
      <c r="A183" s="53"/>
      <c r="B183" s="65"/>
      <c r="C183" s="65"/>
      <c r="D183" s="65"/>
      <c r="E183" s="66"/>
      <c r="F183" s="65"/>
      <c r="G183" s="67"/>
      <c r="H183" s="65"/>
      <c r="I183" s="65"/>
      <c r="J183" s="68"/>
      <c r="K183" s="68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</row>
    <row r="184" spans="1:36" ht="15.75" customHeight="1">
      <c r="A184" s="53"/>
      <c r="B184" s="65"/>
      <c r="C184" s="65"/>
      <c r="D184" s="65"/>
      <c r="E184" s="66"/>
      <c r="F184" s="65"/>
      <c r="G184" s="67"/>
      <c r="H184" s="65"/>
      <c r="I184" s="65"/>
      <c r="J184" s="68"/>
      <c r="K184" s="68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</row>
    <row r="185" spans="1:36" ht="15.75" customHeight="1">
      <c r="A185" s="53"/>
      <c r="B185" s="65"/>
      <c r="C185" s="65"/>
      <c r="D185" s="65"/>
      <c r="E185" s="66"/>
      <c r="F185" s="65"/>
      <c r="G185" s="67"/>
      <c r="H185" s="65"/>
      <c r="I185" s="65"/>
      <c r="J185" s="68"/>
      <c r="K185" s="68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</row>
    <row r="186" spans="1:36" ht="15.75" customHeight="1">
      <c r="A186" s="53"/>
      <c r="B186" s="65"/>
      <c r="C186" s="65"/>
      <c r="D186" s="65"/>
      <c r="E186" s="66"/>
      <c r="F186" s="65"/>
      <c r="G186" s="67"/>
      <c r="H186" s="65"/>
      <c r="I186" s="65"/>
      <c r="J186" s="68"/>
      <c r="K186" s="68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</row>
    <row r="187" spans="1:36" ht="15.75" customHeight="1">
      <c r="A187" s="53"/>
      <c r="B187" s="65"/>
      <c r="C187" s="65"/>
      <c r="D187" s="65"/>
      <c r="E187" s="66"/>
      <c r="F187" s="65"/>
      <c r="G187" s="67"/>
      <c r="H187" s="65"/>
      <c r="I187" s="65"/>
      <c r="J187" s="68"/>
      <c r="K187" s="68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</row>
    <row r="188" spans="1:36" ht="15.75" customHeight="1">
      <c r="A188" s="53"/>
      <c r="B188" s="65"/>
      <c r="C188" s="65"/>
      <c r="D188" s="65"/>
      <c r="E188" s="66"/>
      <c r="F188" s="65"/>
      <c r="G188" s="67"/>
      <c r="H188" s="65"/>
      <c r="I188" s="65"/>
      <c r="J188" s="68"/>
      <c r="K188" s="68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</row>
    <row r="189" spans="1:36" ht="15.75" customHeight="1">
      <c r="A189" s="53"/>
      <c r="B189" s="65"/>
      <c r="C189" s="65"/>
      <c r="D189" s="65"/>
      <c r="E189" s="66"/>
      <c r="F189" s="65"/>
      <c r="G189" s="67"/>
      <c r="H189" s="65"/>
      <c r="I189" s="65"/>
      <c r="J189" s="68"/>
      <c r="K189" s="68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</row>
    <row r="190" spans="1:36" ht="15.75" customHeight="1">
      <c r="A190" s="53"/>
      <c r="B190" s="65"/>
      <c r="C190" s="65"/>
      <c r="D190" s="65"/>
      <c r="E190" s="66"/>
      <c r="F190" s="65"/>
      <c r="G190" s="67"/>
      <c r="H190" s="65"/>
      <c r="I190" s="65"/>
      <c r="J190" s="68"/>
      <c r="K190" s="68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</row>
    <row r="191" spans="1:36" ht="15.75" customHeight="1">
      <c r="A191" s="53"/>
      <c r="B191" s="65"/>
      <c r="C191" s="65"/>
      <c r="D191" s="65"/>
      <c r="E191" s="66"/>
      <c r="F191" s="65"/>
      <c r="G191" s="67"/>
      <c r="H191" s="65"/>
      <c r="I191" s="65"/>
      <c r="J191" s="68"/>
      <c r="K191" s="68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</row>
    <row r="192" spans="1:36" ht="15.75" customHeight="1">
      <c r="A192" s="53"/>
      <c r="B192" s="65"/>
      <c r="C192" s="65"/>
      <c r="D192" s="65"/>
      <c r="E192" s="66"/>
      <c r="F192" s="65"/>
      <c r="G192" s="67"/>
      <c r="H192" s="65"/>
      <c r="I192" s="65"/>
      <c r="J192" s="68"/>
      <c r="K192" s="68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</row>
    <row r="193" spans="1:36" ht="15.75" customHeight="1">
      <c r="A193" s="53"/>
      <c r="B193" s="65"/>
      <c r="C193" s="65"/>
      <c r="D193" s="65"/>
      <c r="E193" s="66"/>
      <c r="F193" s="65"/>
      <c r="G193" s="67"/>
      <c r="H193" s="65"/>
      <c r="I193" s="65"/>
      <c r="J193" s="68"/>
      <c r="K193" s="68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</row>
    <row r="194" spans="1:36" ht="15.75" customHeight="1">
      <c r="A194" s="53"/>
      <c r="B194" s="65"/>
      <c r="C194" s="65"/>
      <c r="D194" s="65"/>
      <c r="E194" s="66"/>
      <c r="F194" s="65"/>
      <c r="G194" s="67"/>
      <c r="H194" s="65"/>
      <c r="I194" s="65"/>
      <c r="J194" s="68"/>
      <c r="K194" s="68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</row>
    <row r="195" spans="1:36" ht="15.75" customHeight="1">
      <c r="A195" s="53"/>
      <c r="B195" s="65"/>
      <c r="C195" s="65"/>
      <c r="D195" s="65"/>
      <c r="E195" s="66"/>
      <c r="F195" s="65"/>
      <c r="G195" s="67"/>
      <c r="H195" s="65"/>
      <c r="I195" s="65"/>
      <c r="J195" s="68"/>
      <c r="K195" s="68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</row>
    <row r="196" spans="1:36" ht="15.75" customHeight="1">
      <c r="A196" s="53"/>
      <c r="B196" s="65"/>
      <c r="C196" s="65"/>
      <c r="D196" s="65"/>
      <c r="E196" s="66"/>
      <c r="F196" s="65"/>
      <c r="G196" s="67"/>
      <c r="H196" s="65"/>
      <c r="I196" s="65"/>
      <c r="J196" s="68"/>
      <c r="K196" s="68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</row>
    <row r="197" spans="1:36" ht="15.75" customHeight="1">
      <c r="A197" s="53"/>
      <c r="B197" s="65"/>
      <c r="C197" s="65"/>
      <c r="D197" s="65"/>
      <c r="E197" s="66"/>
      <c r="F197" s="65"/>
      <c r="G197" s="67"/>
      <c r="H197" s="65"/>
      <c r="I197" s="65"/>
      <c r="J197" s="68"/>
      <c r="K197" s="68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</row>
    <row r="198" spans="1:36" ht="15.75" customHeight="1">
      <c r="A198" s="53"/>
      <c r="B198" s="65"/>
      <c r="C198" s="65"/>
      <c r="D198" s="65"/>
      <c r="E198" s="66"/>
      <c r="F198" s="65"/>
      <c r="G198" s="67"/>
      <c r="H198" s="65"/>
      <c r="I198" s="65"/>
      <c r="J198" s="68"/>
      <c r="K198" s="68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</row>
    <row r="199" spans="1:36" ht="15.75" customHeight="1">
      <c r="A199" s="53"/>
      <c r="B199" s="65"/>
      <c r="C199" s="65"/>
      <c r="D199" s="65"/>
      <c r="E199" s="66"/>
      <c r="F199" s="65"/>
      <c r="G199" s="67"/>
      <c r="H199" s="65"/>
      <c r="I199" s="65"/>
      <c r="J199" s="68"/>
      <c r="K199" s="68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</row>
    <row r="200" spans="1:36" ht="15.75" customHeight="1">
      <c r="A200" s="53"/>
      <c r="B200" s="65"/>
      <c r="C200" s="65"/>
      <c r="D200" s="65"/>
      <c r="E200" s="66"/>
      <c r="F200" s="65"/>
      <c r="G200" s="67"/>
      <c r="H200" s="65"/>
      <c r="I200" s="65"/>
      <c r="J200" s="68"/>
      <c r="K200" s="68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</row>
    <row r="201" spans="1:36" ht="15.75" customHeight="1">
      <c r="A201" s="53"/>
      <c r="B201" s="65"/>
      <c r="C201" s="65"/>
      <c r="D201" s="65"/>
      <c r="E201" s="66"/>
      <c r="F201" s="65"/>
      <c r="G201" s="67"/>
      <c r="H201" s="65"/>
      <c r="I201" s="65"/>
      <c r="J201" s="68"/>
      <c r="K201" s="68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</row>
    <row r="202" spans="1:36" ht="15.75" customHeight="1">
      <c r="A202" s="53"/>
      <c r="B202" s="65"/>
      <c r="C202" s="65"/>
      <c r="D202" s="65"/>
      <c r="E202" s="66"/>
      <c r="F202" s="65"/>
      <c r="G202" s="67"/>
      <c r="H202" s="65"/>
      <c r="I202" s="65"/>
      <c r="J202" s="68"/>
      <c r="K202" s="68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</row>
    <row r="203" spans="1:36" ht="15.75" customHeight="1">
      <c r="A203" s="53"/>
      <c r="B203" s="65"/>
      <c r="C203" s="65"/>
      <c r="D203" s="65"/>
      <c r="E203" s="66"/>
      <c r="F203" s="65"/>
      <c r="G203" s="67"/>
      <c r="H203" s="65"/>
      <c r="I203" s="65"/>
      <c r="J203" s="68"/>
      <c r="K203" s="68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</row>
    <row r="204" spans="1:36" ht="15.75" customHeight="1">
      <c r="A204" s="53"/>
      <c r="B204" s="65"/>
      <c r="C204" s="65"/>
      <c r="D204" s="65"/>
      <c r="E204" s="66"/>
      <c r="F204" s="65"/>
      <c r="G204" s="67"/>
      <c r="H204" s="65"/>
      <c r="I204" s="65"/>
      <c r="J204" s="68"/>
      <c r="K204" s="68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</row>
    <row r="205" spans="1:36" ht="15.75" customHeight="1">
      <c r="A205" s="53"/>
      <c r="B205" s="65"/>
      <c r="C205" s="65"/>
      <c r="D205" s="65"/>
      <c r="E205" s="66"/>
      <c r="F205" s="65"/>
      <c r="G205" s="67"/>
      <c r="H205" s="65"/>
      <c r="I205" s="65"/>
      <c r="J205" s="68"/>
      <c r="K205" s="68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</row>
    <row r="206" spans="1:36" ht="15.75" customHeight="1">
      <c r="A206" s="53"/>
      <c r="B206" s="65"/>
      <c r="C206" s="65"/>
      <c r="D206" s="65"/>
      <c r="E206" s="66"/>
      <c r="F206" s="65"/>
      <c r="G206" s="67"/>
      <c r="H206" s="65"/>
      <c r="I206" s="65"/>
      <c r="J206" s="68"/>
      <c r="K206" s="68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</row>
    <row r="207" spans="1:36" ht="15.75" customHeight="1">
      <c r="A207" s="53"/>
      <c r="B207" s="65"/>
      <c r="C207" s="65"/>
      <c r="D207" s="65"/>
      <c r="E207" s="66"/>
      <c r="F207" s="65"/>
      <c r="G207" s="67"/>
      <c r="H207" s="65"/>
      <c r="I207" s="65"/>
      <c r="J207" s="68"/>
      <c r="K207" s="68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</row>
    <row r="208" spans="1:36" ht="15.75" customHeight="1">
      <c r="A208" s="53"/>
      <c r="B208" s="65"/>
      <c r="C208" s="65"/>
      <c r="D208" s="65"/>
      <c r="E208" s="66"/>
      <c r="F208" s="65"/>
      <c r="G208" s="67"/>
      <c r="H208" s="65"/>
      <c r="I208" s="65"/>
      <c r="J208" s="68"/>
      <c r="K208" s="68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</row>
    <row r="209" spans="1:36" ht="15.75" customHeight="1">
      <c r="A209" s="53"/>
      <c r="B209" s="65"/>
      <c r="C209" s="65"/>
      <c r="D209" s="65"/>
      <c r="E209" s="66"/>
      <c r="F209" s="65"/>
      <c r="G209" s="67"/>
      <c r="H209" s="65"/>
      <c r="I209" s="65"/>
      <c r="J209" s="68"/>
      <c r="K209" s="68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</row>
    <row r="210" spans="1:36" ht="15.75" customHeight="1">
      <c r="A210" s="53"/>
      <c r="B210" s="65"/>
      <c r="C210" s="65"/>
      <c r="D210" s="65"/>
      <c r="E210" s="66"/>
      <c r="F210" s="65"/>
      <c r="G210" s="67"/>
      <c r="H210" s="65"/>
      <c r="I210" s="65"/>
      <c r="J210" s="68"/>
      <c r="K210" s="68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</row>
    <row r="211" spans="1:36" ht="15.75" customHeight="1">
      <c r="A211" s="53"/>
      <c r="B211" s="65"/>
      <c r="C211" s="65"/>
      <c r="D211" s="65"/>
      <c r="E211" s="66"/>
      <c r="F211" s="65"/>
      <c r="G211" s="67"/>
      <c r="H211" s="65"/>
      <c r="I211" s="65"/>
      <c r="J211" s="68"/>
      <c r="K211" s="68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</row>
    <row r="212" spans="1:36" ht="15.75" customHeight="1">
      <c r="A212" s="53"/>
      <c r="B212" s="65"/>
      <c r="C212" s="65"/>
      <c r="D212" s="65"/>
      <c r="E212" s="66"/>
      <c r="F212" s="65"/>
      <c r="G212" s="67"/>
      <c r="H212" s="65"/>
      <c r="I212" s="65"/>
      <c r="J212" s="68"/>
      <c r="K212" s="68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</row>
    <row r="213" spans="1:36" ht="15.75" customHeight="1">
      <c r="A213" s="53"/>
      <c r="B213" s="65"/>
      <c r="C213" s="65"/>
      <c r="D213" s="65"/>
      <c r="E213" s="66"/>
      <c r="F213" s="65"/>
      <c r="G213" s="67"/>
      <c r="H213" s="65"/>
      <c r="I213" s="65"/>
      <c r="J213" s="68"/>
      <c r="K213" s="68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</row>
    <row r="214" spans="1:36" ht="15.75" customHeight="1">
      <c r="A214" s="53"/>
      <c r="B214" s="65"/>
      <c r="C214" s="65"/>
      <c r="D214" s="65"/>
      <c r="E214" s="66"/>
      <c r="F214" s="65"/>
      <c r="G214" s="67"/>
      <c r="H214" s="65"/>
      <c r="I214" s="65"/>
      <c r="J214" s="68"/>
      <c r="K214" s="68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</row>
    <row r="215" spans="1:36" ht="15.75" customHeight="1">
      <c r="A215" s="53"/>
      <c r="B215" s="65"/>
      <c r="C215" s="65"/>
      <c r="D215" s="65"/>
      <c r="E215" s="66"/>
      <c r="F215" s="65"/>
      <c r="G215" s="67"/>
      <c r="H215" s="65"/>
      <c r="I215" s="65"/>
      <c r="J215" s="68"/>
      <c r="K215" s="68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</row>
    <row r="216" spans="1:36" ht="15.75" customHeight="1">
      <c r="A216" s="53"/>
      <c r="B216" s="65"/>
      <c r="C216" s="65"/>
      <c r="D216" s="65"/>
      <c r="E216" s="66"/>
      <c r="F216" s="65"/>
      <c r="G216" s="67"/>
      <c r="H216" s="65"/>
      <c r="I216" s="65"/>
      <c r="J216" s="68"/>
      <c r="K216" s="68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</row>
    <row r="217" spans="1:36" ht="15.75" customHeight="1">
      <c r="A217" s="53"/>
      <c r="B217" s="65"/>
      <c r="C217" s="65"/>
      <c r="D217" s="65"/>
      <c r="E217" s="66"/>
      <c r="F217" s="65"/>
      <c r="G217" s="67"/>
      <c r="H217" s="65"/>
      <c r="I217" s="65"/>
      <c r="J217" s="68"/>
      <c r="K217" s="68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</row>
    <row r="218" spans="1:36" ht="15.75" customHeight="1">
      <c r="A218" s="53"/>
      <c r="B218" s="65"/>
      <c r="C218" s="65"/>
      <c r="D218" s="65"/>
      <c r="E218" s="66"/>
      <c r="F218" s="65"/>
      <c r="G218" s="67"/>
      <c r="H218" s="65"/>
      <c r="I218" s="65"/>
      <c r="J218" s="68"/>
      <c r="K218" s="68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</row>
    <row r="219" spans="1:36" ht="15.75" customHeight="1">
      <c r="A219" s="53"/>
      <c r="B219" s="65"/>
      <c r="C219" s="65"/>
      <c r="D219" s="65"/>
      <c r="E219" s="66"/>
      <c r="F219" s="65"/>
      <c r="G219" s="67"/>
      <c r="H219" s="65"/>
      <c r="I219" s="65"/>
      <c r="J219" s="68"/>
      <c r="K219" s="68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</row>
    <row r="220" spans="1:36" ht="15.75" customHeight="1">
      <c r="A220" s="53"/>
      <c r="B220" s="65"/>
      <c r="C220" s="65"/>
      <c r="D220" s="65"/>
      <c r="E220" s="66"/>
      <c r="F220" s="65"/>
      <c r="G220" s="67"/>
      <c r="H220" s="65"/>
      <c r="I220" s="65"/>
      <c r="J220" s="68"/>
      <c r="K220" s="68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</row>
    <row r="221" spans="1:36" ht="15.75" customHeight="1">
      <c r="A221" s="53"/>
      <c r="B221" s="65"/>
      <c r="C221" s="65"/>
      <c r="D221" s="65"/>
      <c r="E221" s="66"/>
      <c r="F221" s="65"/>
      <c r="G221" s="67"/>
      <c r="H221" s="65"/>
      <c r="I221" s="65"/>
      <c r="J221" s="68"/>
      <c r="K221" s="68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</row>
    <row r="222" spans="1:36" ht="15.75" customHeight="1">
      <c r="A222" s="53"/>
      <c r="B222" s="65"/>
      <c r="C222" s="65"/>
      <c r="D222" s="65"/>
      <c r="E222" s="66"/>
      <c r="F222" s="65"/>
      <c r="G222" s="67"/>
      <c r="H222" s="65"/>
      <c r="I222" s="65"/>
      <c r="J222" s="68"/>
      <c r="K222" s="68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</row>
    <row r="223" spans="1:36" ht="15.75" customHeight="1">
      <c r="A223" s="53"/>
      <c r="B223" s="65"/>
      <c r="C223" s="65"/>
      <c r="D223" s="65"/>
      <c r="E223" s="66"/>
      <c r="F223" s="65"/>
      <c r="G223" s="67"/>
      <c r="H223" s="65"/>
      <c r="I223" s="65"/>
      <c r="J223" s="68"/>
      <c r="K223" s="68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</row>
    <row r="224" spans="1:36" ht="15.75" customHeight="1">
      <c r="A224" s="53"/>
      <c r="B224" s="65"/>
      <c r="C224" s="65"/>
      <c r="D224" s="65"/>
      <c r="E224" s="66"/>
      <c r="F224" s="65"/>
      <c r="G224" s="67"/>
      <c r="H224" s="65"/>
      <c r="I224" s="65"/>
      <c r="J224" s="68"/>
      <c r="K224" s="68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</row>
    <row r="225" spans="1:36" ht="15.75" customHeight="1">
      <c r="A225" s="53"/>
      <c r="B225" s="65"/>
      <c r="C225" s="65"/>
      <c r="D225" s="65"/>
      <c r="E225" s="66"/>
      <c r="F225" s="65"/>
      <c r="G225" s="67"/>
      <c r="H225" s="65"/>
      <c r="I225" s="65"/>
      <c r="J225" s="68"/>
      <c r="K225" s="68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</row>
    <row r="226" spans="1:36" ht="15.75" customHeight="1">
      <c r="A226" s="53"/>
      <c r="B226" s="65"/>
      <c r="C226" s="65"/>
      <c r="D226" s="65"/>
      <c r="E226" s="66"/>
      <c r="F226" s="65"/>
      <c r="G226" s="67"/>
      <c r="H226" s="65"/>
      <c r="I226" s="65"/>
      <c r="J226" s="68"/>
      <c r="K226" s="68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</row>
    <row r="227" spans="1:36" ht="15.75" customHeight="1">
      <c r="A227" s="53"/>
      <c r="B227" s="65"/>
      <c r="C227" s="65"/>
      <c r="D227" s="65"/>
      <c r="E227" s="66"/>
      <c r="F227" s="65"/>
      <c r="G227" s="67"/>
      <c r="H227" s="65"/>
      <c r="I227" s="65"/>
      <c r="J227" s="68"/>
      <c r="K227" s="68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</row>
    <row r="228" spans="1:36" ht="15.75" customHeight="1">
      <c r="A228" s="53"/>
      <c r="B228" s="65"/>
      <c r="C228" s="65"/>
      <c r="D228" s="65"/>
      <c r="E228" s="66"/>
      <c r="F228" s="65"/>
      <c r="G228" s="67"/>
      <c r="H228" s="65"/>
      <c r="I228" s="65"/>
      <c r="J228" s="68"/>
      <c r="K228" s="68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</row>
    <row r="229" spans="1:36" ht="15.75" customHeight="1">
      <c r="A229" s="53"/>
      <c r="B229" s="65"/>
      <c r="C229" s="65"/>
      <c r="D229" s="65"/>
      <c r="E229" s="66"/>
      <c r="F229" s="65"/>
      <c r="G229" s="67"/>
      <c r="H229" s="65"/>
      <c r="I229" s="65"/>
      <c r="J229" s="68"/>
      <c r="K229" s="68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</row>
    <row r="230" spans="1:36" ht="15.75" customHeight="1">
      <c r="A230" s="53"/>
      <c r="B230" s="65"/>
      <c r="C230" s="65"/>
      <c r="D230" s="65"/>
      <c r="E230" s="66"/>
      <c r="F230" s="65"/>
      <c r="G230" s="67"/>
      <c r="H230" s="65"/>
      <c r="I230" s="65"/>
      <c r="J230" s="68"/>
      <c r="K230" s="68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</row>
    <row r="231" spans="1:36" ht="15.75" customHeight="1">
      <c r="A231" s="53"/>
      <c r="B231" s="65"/>
      <c r="C231" s="65"/>
      <c r="D231" s="65"/>
      <c r="E231" s="66"/>
      <c r="F231" s="65"/>
      <c r="G231" s="67"/>
      <c r="H231" s="65"/>
      <c r="I231" s="65"/>
      <c r="J231" s="68"/>
      <c r="K231" s="68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</row>
    <row r="232" spans="1:36" ht="15.75" customHeight="1">
      <c r="A232" s="53"/>
      <c r="B232" s="65"/>
      <c r="C232" s="65"/>
      <c r="D232" s="65"/>
      <c r="E232" s="66"/>
      <c r="F232" s="65"/>
      <c r="G232" s="67"/>
      <c r="H232" s="65"/>
      <c r="I232" s="65"/>
      <c r="J232" s="68"/>
      <c r="K232" s="68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</row>
    <row r="233" spans="1:36" ht="15.75" customHeight="1">
      <c r="A233" s="53"/>
      <c r="B233" s="65"/>
      <c r="C233" s="65"/>
      <c r="D233" s="65"/>
      <c r="E233" s="66"/>
      <c r="F233" s="65"/>
      <c r="G233" s="67"/>
      <c r="H233" s="65"/>
      <c r="I233" s="65"/>
      <c r="J233" s="68"/>
      <c r="K233" s="68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</row>
    <row r="234" spans="1:36" ht="15.75" customHeight="1">
      <c r="A234" s="53"/>
      <c r="B234" s="65"/>
      <c r="C234" s="65"/>
      <c r="D234" s="65"/>
      <c r="E234" s="66"/>
      <c r="F234" s="65"/>
      <c r="G234" s="67"/>
      <c r="H234" s="65"/>
      <c r="I234" s="65"/>
      <c r="J234" s="68"/>
      <c r="K234" s="68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</row>
    <row r="235" spans="1:36" ht="15.75" customHeight="1">
      <c r="A235" s="53"/>
      <c r="B235" s="65"/>
      <c r="C235" s="65"/>
      <c r="D235" s="65"/>
      <c r="E235" s="66"/>
      <c r="F235" s="65"/>
      <c r="G235" s="67"/>
      <c r="H235" s="65"/>
      <c r="I235" s="65"/>
      <c r="J235" s="68"/>
      <c r="K235" s="68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</row>
    <row r="236" spans="1:36" ht="15.75" customHeight="1">
      <c r="A236" s="53"/>
      <c r="B236" s="65"/>
      <c r="C236" s="65"/>
      <c r="D236" s="65"/>
      <c r="E236" s="66"/>
      <c r="F236" s="65"/>
      <c r="G236" s="67"/>
      <c r="H236" s="65"/>
      <c r="I236" s="65"/>
      <c r="J236" s="68"/>
      <c r="K236" s="68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</row>
    <row r="237" spans="1:36" ht="15.75" customHeight="1">
      <c r="A237" s="53"/>
      <c r="B237" s="65"/>
      <c r="C237" s="65"/>
      <c r="D237" s="65"/>
      <c r="E237" s="66"/>
      <c r="F237" s="65"/>
      <c r="G237" s="67"/>
      <c r="H237" s="65"/>
      <c r="I237" s="65"/>
      <c r="J237" s="68"/>
      <c r="K237" s="68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</row>
    <row r="238" spans="1:36" ht="15.75" customHeight="1">
      <c r="A238" s="53"/>
      <c r="B238" s="65"/>
      <c r="C238" s="65"/>
      <c r="D238" s="65"/>
      <c r="E238" s="66"/>
      <c r="F238" s="65"/>
      <c r="G238" s="67"/>
      <c r="H238" s="65"/>
      <c r="I238" s="65"/>
      <c r="J238" s="68"/>
      <c r="K238" s="68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</row>
    <row r="239" spans="1:36" ht="15.75" customHeight="1">
      <c r="A239" s="53"/>
      <c r="B239" s="65"/>
      <c r="C239" s="65"/>
      <c r="D239" s="65"/>
      <c r="E239" s="66"/>
      <c r="F239" s="65"/>
      <c r="G239" s="67"/>
      <c r="H239" s="65"/>
      <c r="I239" s="65"/>
      <c r="J239" s="68"/>
      <c r="K239" s="68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</row>
    <row r="240" spans="1:36" ht="15.75" customHeight="1">
      <c r="A240" s="53"/>
      <c r="B240" s="65"/>
      <c r="C240" s="65"/>
      <c r="D240" s="65"/>
      <c r="E240" s="66"/>
      <c r="F240" s="65"/>
      <c r="G240" s="67"/>
      <c r="H240" s="65"/>
      <c r="I240" s="65"/>
      <c r="J240" s="68"/>
      <c r="K240" s="68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</row>
    <row r="241" spans="1:36" ht="15.75" customHeight="1">
      <c r="A241" s="53"/>
      <c r="B241" s="65"/>
      <c r="C241" s="65"/>
      <c r="D241" s="65"/>
      <c r="E241" s="66"/>
      <c r="F241" s="65"/>
      <c r="G241" s="67"/>
      <c r="H241" s="65"/>
      <c r="I241" s="65"/>
      <c r="J241" s="68"/>
      <c r="K241" s="68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</row>
    <row r="242" spans="1:36" ht="15.75" customHeight="1">
      <c r="A242" s="53"/>
      <c r="B242" s="65"/>
      <c r="C242" s="65"/>
      <c r="D242" s="65"/>
      <c r="E242" s="66"/>
      <c r="F242" s="65"/>
      <c r="G242" s="67"/>
      <c r="H242" s="65"/>
      <c r="I242" s="65"/>
      <c r="J242" s="68"/>
      <c r="K242" s="68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</row>
    <row r="243" spans="1:36" ht="15.75" customHeight="1">
      <c r="A243" s="53"/>
      <c r="B243" s="65"/>
      <c r="C243" s="65"/>
      <c r="D243" s="65"/>
      <c r="E243" s="66"/>
      <c r="F243" s="65"/>
      <c r="G243" s="67"/>
      <c r="H243" s="65"/>
      <c r="I243" s="65"/>
      <c r="J243" s="68"/>
      <c r="K243" s="68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</row>
    <row r="244" spans="1:36" ht="15.75" customHeight="1">
      <c r="A244" s="53"/>
      <c r="B244" s="65"/>
      <c r="C244" s="65"/>
      <c r="D244" s="65"/>
      <c r="E244" s="66"/>
      <c r="F244" s="65"/>
      <c r="G244" s="67"/>
      <c r="H244" s="65"/>
      <c r="I244" s="65"/>
      <c r="J244" s="68"/>
      <c r="K244" s="68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</row>
    <row r="245" spans="1:36" ht="15.75" customHeight="1">
      <c r="A245" s="53"/>
      <c r="B245" s="65"/>
      <c r="C245" s="65"/>
      <c r="D245" s="65"/>
      <c r="E245" s="66"/>
      <c r="F245" s="65"/>
      <c r="G245" s="67"/>
      <c r="H245" s="65"/>
      <c r="I245" s="65"/>
      <c r="J245" s="68"/>
      <c r="K245" s="68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</row>
    <row r="246" spans="1:36" ht="15.75" customHeight="1">
      <c r="A246" s="53"/>
      <c r="B246" s="65"/>
      <c r="C246" s="65"/>
      <c r="D246" s="65"/>
      <c r="E246" s="66"/>
      <c r="F246" s="65"/>
      <c r="G246" s="67"/>
      <c r="H246" s="65"/>
      <c r="I246" s="65"/>
      <c r="J246" s="68"/>
      <c r="K246" s="68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</row>
    <row r="247" spans="1:36" ht="15.75" customHeight="1">
      <c r="A247" s="53"/>
      <c r="B247" s="65"/>
      <c r="C247" s="65"/>
      <c r="D247" s="65"/>
      <c r="E247" s="66"/>
      <c r="F247" s="65"/>
      <c r="G247" s="67"/>
      <c r="H247" s="65"/>
      <c r="I247" s="65"/>
      <c r="J247" s="68"/>
      <c r="K247" s="68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</row>
    <row r="248" spans="1:36" ht="15.75" customHeight="1">
      <c r="A248" s="53"/>
      <c r="B248" s="65"/>
      <c r="C248" s="65"/>
      <c r="D248" s="65"/>
      <c r="E248" s="66"/>
      <c r="F248" s="65"/>
      <c r="G248" s="67"/>
      <c r="H248" s="65"/>
      <c r="I248" s="65"/>
      <c r="J248" s="68"/>
      <c r="K248" s="68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</row>
    <row r="249" spans="1:36" ht="15.75" customHeight="1">
      <c r="A249" s="53"/>
      <c r="B249" s="65"/>
      <c r="C249" s="65"/>
      <c r="D249" s="65"/>
      <c r="E249" s="66"/>
      <c r="F249" s="65"/>
      <c r="G249" s="67"/>
      <c r="H249" s="65"/>
      <c r="I249" s="65"/>
      <c r="J249" s="68"/>
      <c r="K249" s="68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</row>
    <row r="250" spans="1:36" ht="15.75" customHeight="1">
      <c r="A250" s="53"/>
      <c r="B250" s="65"/>
      <c r="C250" s="65"/>
      <c r="D250" s="65"/>
      <c r="E250" s="66"/>
      <c r="F250" s="65"/>
      <c r="G250" s="67"/>
      <c r="H250" s="65"/>
      <c r="I250" s="65"/>
      <c r="J250" s="68"/>
      <c r="K250" s="68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</row>
    <row r="251" spans="1:36" ht="15.75" customHeight="1">
      <c r="A251" s="53"/>
      <c r="B251" s="65"/>
      <c r="C251" s="65"/>
      <c r="D251" s="65"/>
      <c r="E251" s="66"/>
      <c r="F251" s="65"/>
      <c r="G251" s="67"/>
      <c r="H251" s="65"/>
      <c r="I251" s="65"/>
      <c r="J251" s="68"/>
      <c r="K251" s="68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</row>
    <row r="252" spans="1:36" ht="15.75" customHeight="1">
      <c r="A252" s="53"/>
      <c r="B252" s="65"/>
      <c r="C252" s="65"/>
      <c r="D252" s="65"/>
      <c r="E252" s="66"/>
      <c r="F252" s="65"/>
      <c r="G252" s="67"/>
      <c r="H252" s="65"/>
      <c r="I252" s="65"/>
      <c r="J252" s="68"/>
      <c r="K252" s="68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</row>
    <row r="253" spans="1:36" ht="15.75" customHeight="1">
      <c r="A253" s="53"/>
      <c r="B253" s="65"/>
      <c r="C253" s="65"/>
      <c r="D253" s="65"/>
      <c r="E253" s="66"/>
      <c r="F253" s="65"/>
      <c r="G253" s="67"/>
      <c r="H253" s="65"/>
      <c r="I253" s="65"/>
      <c r="J253" s="68"/>
      <c r="K253" s="68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</row>
    <row r="254" spans="1:36" ht="15.75" customHeight="1">
      <c r="A254" s="53"/>
      <c r="B254" s="65"/>
      <c r="C254" s="65"/>
      <c r="D254" s="65"/>
      <c r="E254" s="66"/>
      <c r="F254" s="65"/>
      <c r="G254" s="67"/>
      <c r="H254" s="65"/>
      <c r="I254" s="65"/>
      <c r="J254" s="68"/>
      <c r="K254" s="68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</row>
    <row r="255" spans="1:36" ht="15.75" customHeight="1">
      <c r="A255" s="53"/>
      <c r="B255" s="65"/>
      <c r="C255" s="65"/>
      <c r="D255" s="65"/>
      <c r="E255" s="66"/>
      <c r="F255" s="65"/>
      <c r="G255" s="67"/>
      <c r="H255" s="65"/>
      <c r="I255" s="65"/>
      <c r="J255" s="68"/>
      <c r="K255" s="68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</row>
    <row r="256" spans="1:36" ht="15.75" customHeight="1">
      <c r="A256" s="53"/>
      <c r="B256" s="65"/>
      <c r="C256" s="65"/>
      <c r="D256" s="65"/>
      <c r="E256" s="66"/>
      <c r="F256" s="65"/>
      <c r="G256" s="67"/>
      <c r="H256" s="65"/>
      <c r="I256" s="65"/>
      <c r="J256" s="68"/>
      <c r="K256" s="68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</row>
    <row r="257" spans="1:36" ht="15.75" customHeight="1">
      <c r="A257" s="53"/>
      <c r="B257" s="65"/>
      <c r="C257" s="65"/>
      <c r="D257" s="65"/>
      <c r="E257" s="66"/>
      <c r="F257" s="65"/>
      <c r="G257" s="67"/>
      <c r="H257" s="65"/>
      <c r="I257" s="65"/>
      <c r="J257" s="68"/>
      <c r="K257" s="68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</row>
    <row r="258" spans="1:36" ht="15.75" customHeight="1">
      <c r="A258" s="53"/>
      <c r="B258" s="65"/>
      <c r="C258" s="65"/>
      <c r="D258" s="65"/>
      <c r="E258" s="66"/>
      <c r="F258" s="65"/>
      <c r="G258" s="67"/>
      <c r="H258" s="65"/>
      <c r="I258" s="65"/>
      <c r="J258" s="68"/>
      <c r="K258" s="68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</row>
    <row r="259" spans="1:36" ht="15.75" customHeight="1">
      <c r="A259" s="53"/>
      <c r="B259" s="65"/>
      <c r="C259" s="65"/>
      <c r="D259" s="65"/>
      <c r="E259" s="66"/>
      <c r="F259" s="65"/>
      <c r="G259" s="67"/>
      <c r="H259" s="65"/>
      <c r="I259" s="65"/>
      <c r="J259" s="68"/>
      <c r="K259" s="68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</row>
    <row r="260" spans="1:36" ht="15.75" customHeight="1">
      <c r="A260" s="53"/>
      <c r="B260" s="65"/>
      <c r="C260" s="65"/>
      <c r="D260" s="65"/>
      <c r="E260" s="66"/>
      <c r="F260" s="65"/>
      <c r="G260" s="67"/>
      <c r="H260" s="65"/>
      <c r="I260" s="65"/>
      <c r="J260" s="68"/>
      <c r="K260" s="68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</row>
    <row r="261" spans="1:36" ht="15.75" customHeight="1">
      <c r="A261" s="53"/>
      <c r="B261" s="65"/>
      <c r="C261" s="65"/>
      <c r="D261" s="65"/>
      <c r="E261" s="66"/>
      <c r="F261" s="65"/>
      <c r="G261" s="67"/>
      <c r="H261" s="65"/>
      <c r="I261" s="65"/>
      <c r="J261" s="68"/>
      <c r="K261" s="68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</row>
    <row r="262" spans="1:36" ht="15.75" customHeight="1">
      <c r="A262" s="53"/>
      <c r="B262" s="65"/>
      <c r="C262" s="65"/>
      <c r="D262" s="65"/>
      <c r="E262" s="66"/>
      <c r="F262" s="65"/>
      <c r="G262" s="67"/>
      <c r="H262" s="65"/>
      <c r="I262" s="65"/>
      <c r="J262" s="68"/>
      <c r="K262" s="68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</row>
    <row r="263" spans="1:36" ht="15.75" customHeight="1">
      <c r="A263" s="53"/>
      <c r="B263" s="65"/>
      <c r="C263" s="65"/>
      <c r="D263" s="65"/>
      <c r="E263" s="66"/>
      <c r="F263" s="65"/>
      <c r="G263" s="67"/>
      <c r="H263" s="65"/>
      <c r="I263" s="65"/>
      <c r="J263" s="68"/>
      <c r="K263" s="68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</row>
    <row r="264" spans="1:36" ht="15.75" customHeight="1">
      <c r="A264" s="53"/>
      <c r="B264" s="65"/>
      <c r="C264" s="65"/>
      <c r="D264" s="65"/>
      <c r="E264" s="66"/>
      <c r="F264" s="65"/>
      <c r="G264" s="67"/>
      <c r="H264" s="65"/>
      <c r="I264" s="65"/>
      <c r="J264" s="68"/>
      <c r="K264" s="68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</row>
    <row r="265" spans="1:36" ht="15.75" customHeight="1">
      <c r="A265" s="53"/>
      <c r="B265" s="65"/>
      <c r="C265" s="65"/>
      <c r="D265" s="65"/>
      <c r="E265" s="66"/>
      <c r="F265" s="65"/>
      <c r="G265" s="67"/>
      <c r="H265" s="65"/>
      <c r="I265" s="65"/>
      <c r="J265" s="68"/>
      <c r="K265" s="68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</row>
    <row r="266" spans="1:36" ht="15.75" customHeight="1">
      <c r="A266" s="53"/>
      <c r="B266" s="65"/>
      <c r="C266" s="65"/>
      <c r="D266" s="65"/>
      <c r="E266" s="66"/>
      <c r="F266" s="65"/>
      <c r="G266" s="67"/>
      <c r="H266" s="65"/>
      <c r="I266" s="65"/>
      <c r="J266" s="68"/>
      <c r="K266" s="68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</row>
    <row r="267" spans="1:36" ht="15.75" customHeight="1">
      <c r="A267" s="53"/>
      <c r="B267" s="65"/>
      <c r="C267" s="65"/>
      <c r="D267" s="65"/>
      <c r="E267" s="66"/>
      <c r="F267" s="65"/>
      <c r="G267" s="67"/>
      <c r="H267" s="65"/>
      <c r="I267" s="65"/>
      <c r="J267" s="68"/>
      <c r="K267" s="68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</row>
    <row r="268" spans="1:36" ht="15.75" customHeight="1">
      <c r="A268" s="53"/>
      <c r="B268" s="65"/>
      <c r="C268" s="65"/>
      <c r="D268" s="65"/>
      <c r="E268" s="66"/>
      <c r="F268" s="65"/>
      <c r="G268" s="67"/>
      <c r="H268" s="65"/>
      <c r="I268" s="65"/>
      <c r="J268" s="68"/>
      <c r="K268" s="68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</row>
    <row r="269" spans="1:36" ht="15.75" customHeight="1">
      <c r="A269" s="53"/>
      <c r="B269" s="65"/>
      <c r="C269" s="65"/>
      <c r="D269" s="65"/>
      <c r="E269" s="66"/>
      <c r="F269" s="65"/>
      <c r="G269" s="67"/>
      <c r="H269" s="65"/>
      <c r="I269" s="65"/>
      <c r="J269" s="68"/>
      <c r="K269" s="68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</row>
    <row r="270" spans="1:36" ht="15.75" customHeight="1">
      <c r="A270" s="53"/>
      <c r="B270" s="65"/>
      <c r="C270" s="65"/>
      <c r="D270" s="65"/>
      <c r="E270" s="66"/>
      <c r="F270" s="65"/>
      <c r="G270" s="67"/>
      <c r="H270" s="65"/>
      <c r="I270" s="65"/>
      <c r="J270" s="68"/>
      <c r="K270" s="68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</row>
    <row r="271" spans="1:36" ht="15.75" customHeight="1">
      <c r="A271" s="53"/>
      <c r="B271" s="65"/>
      <c r="C271" s="65"/>
      <c r="D271" s="65"/>
      <c r="E271" s="66"/>
      <c r="F271" s="65"/>
      <c r="G271" s="67"/>
      <c r="H271" s="65"/>
      <c r="I271" s="65"/>
      <c r="J271" s="68"/>
      <c r="K271" s="68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</row>
    <row r="272" spans="1:36" ht="15.75" customHeight="1">
      <c r="A272" s="53"/>
      <c r="B272" s="65"/>
      <c r="C272" s="65"/>
      <c r="D272" s="65"/>
      <c r="E272" s="66"/>
      <c r="F272" s="65"/>
      <c r="G272" s="67"/>
      <c r="H272" s="65"/>
      <c r="I272" s="65"/>
      <c r="J272" s="68"/>
      <c r="K272" s="68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</row>
    <row r="273" spans="1:36" ht="15.75" customHeight="1">
      <c r="A273" s="53"/>
      <c r="B273" s="65"/>
      <c r="C273" s="65"/>
      <c r="D273" s="65"/>
      <c r="E273" s="66"/>
      <c r="F273" s="65"/>
      <c r="G273" s="67"/>
      <c r="H273" s="65"/>
      <c r="I273" s="65"/>
      <c r="J273" s="68"/>
      <c r="K273" s="68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</row>
    <row r="274" spans="1:36" ht="15.75" customHeight="1">
      <c r="A274" s="53"/>
      <c r="B274" s="65"/>
      <c r="C274" s="65"/>
      <c r="D274" s="65"/>
      <c r="E274" s="66"/>
      <c r="F274" s="65"/>
      <c r="G274" s="67"/>
      <c r="H274" s="65"/>
      <c r="I274" s="65"/>
      <c r="J274" s="68"/>
      <c r="K274" s="68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</row>
    <row r="275" spans="1:36" ht="15.75" customHeight="1">
      <c r="A275" s="53"/>
      <c r="B275" s="65"/>
      <c r="C275" s="65"/>
      <c r="D275" s="65"/>
      <c r="E275" s="66"/>
      <c r="F275" s="65"/>
      <c r="G275" s="67"/>
      <c r="H275" s="65"/>
      <c r="I275" s="65"/>
      <c r="J275" s="68"/>
      <c r="K275" s="68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</row>
    <row r="276" spans="1:36" ht="15.75" customHeight="1">
      <c r="A276" s="53"/>
      <c r="B276" s="65"/>
      <c r="C276" s="65"/>
      <c r="D276" s="65"/>
      <c r="E276" s="66"/>
      <c r="F276" s="65"/>
      <c r="G276" s="67"/>
      <c r="H276" s="65"/>
      <c r="I276" s="65"/>
      <c r="J276" s="68"/>
      <c r="K276" s="68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</row>
    <row r="277" spans="1:36" ht="15.75" customHeight="1">
      <c r="A277" s="53"/>
      <c r="B277" s="65"/>
      <c r="C277" s="65"/>
      <c r="D277" s="65"/>
      <c r="E277" s="66"/>
      <c r="F277" s="65"/>
      <c r="G277" s="67"/>
      <c r="H277" s="65"/>
      <c r="I277" s="65"/>
      <c r="J277" s="68"/>
      <c r="K277" s="68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</row>
    <row r="278" spans="1:36" ht="15.75" customHeight="1">
      <c r="A278" s="53"/>
      <c r="B278" s="65"/>
      <c r="C278" s="65"/>
      <c r="D278" s="65"/>
      <c r="E278" s="66"/>
      <c r="F278" s="65"/>
      <c r="G278" s="67"/>
      <c r="H278" s="65"/>
      <c r="I278" s="65"/>
      <c r="J278" s="68"/>
      <c r="K278" s="68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</row>
    <row r="279" spans="1:36" ht="15.75" customHeight="1">
      <c r="A279" s="53"/>
      <c r="B279" s="65"/>
      <c r="C279" s="65"/>
      <c r="D279" s="65"/>
      <c r="E279" s="66"/>
      <c r="F279" s="65"/>
      <c r="G279" s="67"/>
      <c r="H279" s="65"/>
      <c r="I279" s="65"/>
      <c r="J279" s="68"/>
      <c r="K279" s="68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</row>
    <row r="280" spans="1:36" ht="15.75" customHeight="1">
      <c r="A280" s="53"/>
      <c r="B280" s="65"/>
      <c r="C280" s="65"/>
      <c r="D280" s="65"/>
      <c r="E280" s="66"/>
      <c r="F280" s="65"/>
      <c r="G280" s="67"/>
      <c r="H280" s="65"/>
      <c r="I280" s="65"/>
      <c r="J280" s="68"/>
      <c r="K280" s="68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</row>
    <row r="281" spans="1:36" ht="15.75" customHeight="1">
      <c r="A281" s="53"/>
      <c r="B281" s="65"/>
      <c r="C281" s="65"/>
      <c r="D281" s="65"/>
      <c r="E281" s="66"/>
      <c r="F281" s="65"/>
      <c r="G281" s="67"/>
      <c r="H281" s="65"/>
      <c r="I281" s="65"/>
      <c r="J281" s="68"/>
      <c r="K281" s="68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</row>
    <row r="282" spans="1:36" ht="15.75" customHeight="1">
      <c r="A282" s="53"/>
      <c r="B282" s="65"/>
      <c r="C282" s="65"/>
      <c r="D282" s="65"/>
      <c r="E282" s="66"/>
      <c r="F282" s="65"/>
      <c r="G282" s="67"/>
      <c r="H282" s="65"/>
      <c r="I282" s="65"/>
      <c r="J282" s="68"/>
      <c r="K282" s="68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</row>
    <row r="283" spans="1:36" ht="15.75" customHeight="1">
      <c r="A283" s="53"/>
      <c r="B283" s="65"/>
      <c r="C283" s="65"/>
      <c r="D283" s="65"/>
      <c r="E283" s="66"/>
      <c r="F283" s="65"/>
      <c r="G283" s="67"/>
      <c r="H283" s="65"/>
      <c r="I283" s="65"/>
      <c r="J283" s="68"/>
      <c r="K283" s="68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</row>
    <row r="284" spans="1:36" ht="15.75" customHeight="1">
      <c r="A284" s="53"/>
      <c r="B284" s="65"/>
      <c r="C284" s="65"/>
      <c r="D284" s="65"/>
      <c r="E284" s="66"/>
      <c r="F284" s="65"/>
      <c r="G284" s="67"/>
      <c r="H284" s="65"/>
      <c r="I284" s="65"/>
      <c r="J284" s="68"/>
      <c r="K284" s="68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</row>
    <row r="285" spans="1:36" ht="15.75" customHeight="1">
      <c r="A285" s="53"/>
      <c r="B285" s="65"/>
      <c r="C285" s="65"/>
      <c r="D285" s="65"/>
      <c r="E285" s="66"/>
      <c r="F285" s="65"/>
      <c r="G285" s="67"/>
      <c r="H285" s="65"/>
      <c r="I285" s="65"/>
      <c r="J285" s="68"/>
      <c r="K285" s="68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</row>
    <row r="286" spans="1:36" ht="15.75" customHeight="1">
      <c r="A286" s="53"/>
      <c r="B286" s="65"/>
      <c r="C286" s="65"/>
      <c r="D286" s="65"/>
      <c r="E286" s="66"/>
      <c r="F286" s="65"/>
      <c r="G286" s="67"/>
      <c r="H286" s="65"/>
      <c r="I286" s="65"/>
      <c r="J286" s="68"/>
      <c r="K286" s="68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</row>
    <row r="287" spans="1:36" ht="15.75" customHeight="1">
      <c r="A287" s="53"/>
      <c r="B287" s="65"/>
      <c r="C287" s="65"/>
      <c r="D287" s="65"/>
      <c r="E287" s="66"/>
      <c r="F287" s="65"/>
      <c r="G287" s="67"/>
      <c r="H287" s="65"/>
      <c r="I287" s="65"/>
      <c r="J287" s="68"/>
      <c r="K287" s="68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</row>
    <row r="288" spans="1:36" ht="15.75" customHeight="1">
      <c r="A288" s="53"/>
      <c r="B288" s="65"/>
      <c r="C288" s="65"/>
      <c r="D288" s="65"/>
      <c r="E288" s="66"/>
      <c r="F288" s="65"/>
      <c r="G288" s="67"/>
      <c r="H288" s="65"/>
      <c r="I288" s="65"/>
      <c r="J288" s="68"/>
      <c r="K288" s="68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</row>
    <row r="289" spans="1:36" ht="15.75" customHeight="1">
      <c r="A289" s="53"/>
      <c r="B289" s="65"/>
      <c r="C289" s="65"/>
      <c r="D289" s="65"/>
      <c r="E289" s="66"/>
      <c r="F289" s="65"/>
      <c r="G289" s="67"/>
      <c r="H289" s="65"/>
      <c r="I289" s="65"/>
      <c r="J289" s="68"/>
      <c r="K289" s="68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</row>
    <row r="290" spans="1:36" ht="15.75" customHeight="1">
      <c r="A290" s="53"/>
      <c r="B290" s="65"/>
      <c r="C290" s="65"/>
      <c r="D290" s="65"/>
      <c r="E290" s="66"/>
      <c r="F290" s="65"/>
      <c r="G290" s="67"/>
      <c r="H290" s="65"/>
      <c r="I290" s="65"/>
      <c r="J290" s="68"/>
      <c r="K290" s="68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</row>
    <row r="291" spans="1:36" ht="15.75" customHeight="1">
      <c r="A291" s="53"/>
      <c r="B291" s="65"/>
      <c r="C291" s="65"/>
      <c r="D291" s="65"/>
      <c r="E291" s="66"/>
      <c r="F291" s="65"/>
      <c r="G291" s="67"/>
      <c r="H291" s="65"/>
      <c r="I291" s="65"/>
      <c r="J291" s="68"/>
      <c r="K291" s="68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</row>
    <row r="292" spans="1:36" ht="15.75" customHeight="1">
      <c r="A292" s="53"/>
      <c r="B292" s="65"/>
      <c r="C292" s="65"/>
      <c r="D292" s="65"/>
      <c r="E292" s="66"/>
      <c r="F292" s="65"/>
      <c r="G292" s="67"/>
      <c r="H292" s="65"/>
      <c r="I292" s="65"/>
      <c r="J292" s="68"/>
      <c r="K292" s="68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</row>
    <row r="293" spans="1:36" ht="15.75" customHeight="1">
      <c r="A293" s="53"/>
      <c r="B293" s="65"/>
      <c r="C293" s="65"/>
      <c r="D293" s="65"/>
      <c r="E293" s="66"/>
      <c r="F293" s="65"/>
      <c r="G293" s="67"/>
      <c r="H293" s="65"/>
      <c r="I293" s="65"/>
      <c r="J293" s="68"/>
      <c r="K293" s="68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</row>
    <row r="294" spans="1:36" ht="15.75" customHeight="1">
      <c r="A294" s="53"/>
      <c r="B294" s="65"/>
      <c r="C294" s="65"/>
      <c r="D294" s="65"/>
      <c r="E294" s="66"/>
      <c r="F294" s="65"/>
      <c r="G294" s="67"/>
      <c r="H294" s="65"/>
      <c r="I294" s="65"/>
      <c r="J294" s="68"/>
      <c r="K294" s="68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</row>
    <row r="295" spans="1:36" ht="15.75" customHeight="1">
      <c r="A295" s="53"/>
      <c r="B295" s="65"/>
      <c r="C295" s="65"/>
      <c r="D295" s="65"/>
      <c r="E295" s="66"/>
      <c r="F295" s="65"/>
      <c r="G295" s="67"/>
      <c r="H295" s="65"/>
      <c r="I295" s="65"/>
      <c r="J295" s="68"/>
      <c r="K295" s="68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</row>
    <row r="296" spans="1:36" ht="15.75" customHeight="1">
      <c r="A296" s="53"/>
      <c r="B296" s="65"/>
      <c r="C296" s="65"/>
      <c r="D296" s="65"/>
      <c r="E296" s="66"/>
      <c r="F296" s="65"/>
      <c r="G296" s="67"/>
      <c r="H296" s="65"/>
      <c r="I296" s="65"/>
      <c r="J296" s="68"/>
      <c r="K296" s="68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</row>
    <row r="297" spans="1:36" ht="15.75" customHeight="1">
      <c r="A297" s="53"/>
      <c r="B297" s="65"/>
      <c r="C297" s="65"/>
      <c r="D297" s="65"/>
      <c r="E297" s="66"/>
      <c r="F297" s="65"/>
      <c r="G297" s="67"/>
      <c r="H297" s="65"/>
      <c r="I297" s="65"/>
      <c r="J297" s="68"/>
      <c r="K297" s="68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</row>
    <row r="298" spans="1:36" ht="15.75" customHeight="1">
      <c r="A298" s="53"/>
      <c r="B298" s="65"/>
      <c r="C298" s="65"/>
      <c r="D298" s="65"/>
      <c r="E298" s="66"/>
      <c r="F298" s="65"/>
      <c r="G298" s="67"/>
      <c r="H298" s="65"/>
      <c r="I298" s="65"/>
      <c r="J298" s="68"/>
      <c r="K298" s="68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</row>
    <row r="299" spans="1:36" ht="15.75" customHeight="1">
      <c r="A299" s="53"/>
      <c r="B299" s="65"/>
      <c r="C299" s="65"/>
      <c r="D299" s="65"/>
      <c r="E299" s="66"/>
      <c r="F299" s="65"/>
      <c r="G299" s="67"/>
      <c r="H299" s="65"/>
      <c r="I299" s="65"/>
      <c r="J299" s="68"/>
      <c r="K299" s="68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</row>
    <row r="300" spans="1:36" ht="15.75" customHeight="1">
      <c r="A300" s="53"/>
      <c r="B300" s="65"/>
      <c r="C300" s="65"/>
      <c r="D300" s="65"/>
      <c r="E300" s="66"/>
      <c r="F300" s="65"/>
      <c r="G300" s="67"/>
      <c r="H300" s="65"/>
      <c r="I300" s="65"/>
      <c r="J300" s="68"/>
      <c r="K300" s="68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</row>
    <row r="301" spans="1:36" ht="15.75" customHeight="1">
      <c r="A301" s="53"/>
      <c r="B301" s="65"/>
      <c r="C301" s="65"/>
      <c r="D301" s="65"/>
      <c r="E301" s="66"/>
      <c r="F301" s="65"/>
      <c r="G301" s="67"/>
      <c r="H301" s="65"/>
      <c r="I301" s="65"/>
      <c r="J301" s="68"/>
      <c r="K301" s="68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</row>
    <row r="302" spans="1:36" ht="15.75" customHeight="1">
      <c r="A302" s="53"/>
      <c r="B302" s="65"/>
      <c r="C302" s="65"/>
      <c r="D302" s="65"/>
      <c r="E302" s="66"/>
      <c r="F302" s="65"/>
      <c r="G302" s="67"/>
      <c r="H302" s="65"/>
      <c r="I302" s="65"/>
      <c r="J302" s="68"/>
      <c r="K302" s="68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</row>
    <row r="303" spans="1:36" ht="15.75" customHeight="1">
      <c r="A303" s="53"/>
      <c r="B303" s="65"/>
      <c r="C303" s="65"/>
      <c r="D303" s="65"/>
      <c r="E303" s="66"/>
      <c r="F303" s="65"/>
      <c r="G303" s="67"/>
      <c r="H303" s="65"/>
      <c r="I303" s="65"/>
      <c r="J303" s="68"/>
      <c r="K303" s="68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</row>
    <row r="304" spans="1:36" ht="15.75" customHeight="1">
      <c r="A304" s="53"/>
      <c r="B304" s="65"/>
      <c r="C304" s="65"/>
      <c r="D304" s="65"/>
      <c r="E304" s="66"/>
      <c r="F304" s="65"/>
      <c r="G304" s="67"/>
      <c r="H304" s="65"/>
      <c r="I304" s="65"/>
      <c r="J304" s="68"/>
      <c r="K304" s="68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</row>
    <row r="305" spans="1:36" ht="15.75" customHeight="1">
      <c r="A305" s="53"/>
      <c r="B305" s="65"/>
      <c r="C305" s="65"/>
      <c r="D305" s="65"/>
      <c r="E305" s="66"/>
      <c r="F305" s="65"/>
      <c r="G305" s="67"/>
      <c r="H305" s="65"/>
      <c r="I305" s="65"/>
      <c r="J305" s="68"/>
      <c r="K305" s="68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</row>
    <row r="306" spans="1:36" ht="15.75" customHeight="1">
      <c r="A306" s="53"/>
      <c r="B306" s="65"/>
      <c r="C306" s="65"/>
      <c r="D306" s="65"/>
      <c r="E306" s="66"/>
      <c r="F306" s="65"/>
      <c r="G306" s="67"/>
      <c r="H306" s="65"/>
      <c r="I306" s="65"/>
      <c r="J306" s="68"/>
      <c r="K306" s="68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</row>
    <row r="307" spans="1:36" ht="15.75" customHeight="1">
      <c r="A307" s="53"/>
      <c r="B307" s="65"/>
      <c r="C307" s="65"/>
      <c r="D307" s="65"/>
      <c r="E307" s="66"/>
      <c r="F307" s="65"/>
      <c r="G307" s="67"/>
      <c r="H307" s="65"/>
      <c r="I307" s="65"/>
      <c r="J307" s="68"/>
      <c r="K307" s="68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</row>
    <row r="308" spans="1:36" ht="15.75" customHeight="1">
      <c r="A308" s="53"/>
      <c r="B308" s="65"/>
      <c r="C308" s="65"/>
      <c r="D308" s="65"/>
      <c r="E308" s="66"/>
      <c r="F308" s="65"/>
      <c r="G308" s="67"/>
      <c r="H308" s="65"/>
      <c r="I308" s="65"/>
      <c r="J308" s="68"/>
      <c r="K308" s="68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</row>
    <row r="309" spans="1:36" ht="15.75" customHeight="1">
      <c r="A309" s="53"/>
      <c r="B309" s="65"/>
      <c r="C309" s="65"/>
      <c r="D309" s="65"/>
      <c r="E309" s="66"/>
      <c r="F309" s="65"/>
      <c r="G309" s="67"/>
      <c r="H309" s="65"/>
      <c r="I309" s="65"/>
      <c r="J309" s="68"/>
      <c r="K309" s="68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</row>
    <row r="310" spans="1:36" ht="15.75" customHeight="1">
      <c r="A310" s="53"/>
      <c r="B310" s="65"/>
      <c r="C310" s="65"/>
      <c r="D310" s="65"/>
      <c r="E310" s="66"/>
      <c r="F310" s="65"/>
      <c r="G310" s="67"/>
      <c r="H310" s="65"/>
      <c r="I310" s="65"/>
      <c r="J310" s="68"/>
      <c r="K310" s="68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</row>
    <row r="311" spans="1:36" ht="15.75" customHeight="1">
      <c r="A311" s="53"/>
      <c r="B311" s="65"/>
      <c r="C311" s="65"/>
      <c r="D311" s="65"/>
      <c r="E311" s="66"/>
      <c r="F311" s="65"/>
      <c r="G311" s="67"/>
      <c r="H311" s="65"/>
      <c r="I311" s="65"/>
      <c r="J311" s="68"/>
      <c r="K311" s="68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</row>
    <row r="312" spans="1:36" ht="15.75" customHeight="1">
      <c r="A312" s="53"/>
      <c r="B312" s="65"/>
      <c r="C312" s="65"/>
      <c r="D312" s="65"/>
      <c r="E312" s="66"/>
      <c r="F312" s="65"/>
      <c r="G312" s="67"/>
      <c r="H312" s="65"/>
      <c r="I312" s="65"/>
      <c r="J312" s="68"/>
      <c r="K312" s="68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</row>
    <row r="313" spans="1:36" ht="15.75" customHeight="1">
      <c r="A313" s="53"/>
      <c r="B313" s="65"/>
      <c r="C313" s="65"/>
      <c r="D313" s="65"/>
      <c r="E313" s="66"/>
      <c r="F313" s="65"/>
      <c r="G313" s="67"/>
      <c r="H313" s="65"/>
      <c r="I313" s="65"/>
      <c r="J313" s="68"/>
      <c r="K313" s="68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</row>
    <row r="314" spans="1:36" ht="15.75" customHeight="1">
      <c r="A314" s="53"/>
      <c r="B314" s="65"/>
      <c r="C314" s="65"/>
      <c r="D314" s="65"/>
      <c r="E314" s="66"/>
      <c r="F314" s="65"/>
      <c r="G314" s="67"/>
      <c r="H314" s="65"/>
      <c r="I314" s="65"/>
      <c r="J314" s="68"/>
      <c r="K314" s="68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</row>
    <row r="315" spans="1:36" ht="15.75" customHeight="1">
      <c r="A315" s="53"/>
      <c r="B315" s="65"/>
      <c r="C315" s="65"/>
      <c r="D315" s="65"/>
      <c r="E315" s="66"/>
      <c r="F315" s="65"/>
      <c r="G315" s="67"/>
      <c r="H315" s="65"/>
      <c r="I315" s="65"/>
      <c r="J315" s="68"/>
      <c r="K315" s="68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</row>
    <row r="316" spans="1:36" ht="15.75" customHeight="1">
      <c r="A316" s="53"/>
      <c r="B316" s="65"/>
      <c r="C316" s="65"/>
      <c r="D316" s="65"/>
      <c r="E316" s="66"/>
      <c r="F316" s="65"/>
      <c r="G316" s="67"/>
      <c r="H316" s="65"/>
      <c r="I316" s="65"/>
      <c r="J316" s="68"/>
      <c r="K316" s="68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</row>
    <row r="317" spans="1:36" ht="15.75" customHeight="1">
      <c r="A317" s="53"/>
      <c r="B317" s="65"/>
      <c r="C317" s="65"/>
      <c r="D317" s="65"/>
      <c r="E317" s="66"/>
      <c r="F317" s="65"/>
      <c r="G317" s="67"/>
      <c r="H317" s="65"/>
      <c r="I317" s="65"/>
      <c r="J317" s="68"/>
      <c r="K317" s="68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</row>
    <row r="318" spans="1:36" ht="15.75" customHeight="1">
      <c r="A318" s="53"/>
      <c r="B318" s="65"/>
      <c r="C318" s="65"/>
      <c r="D318" s="65"/>
      <c r="E318" s="66"/>
      <c r="F318" s="65"/>
      <c r="G318" s="67"/>
      <c r="H318" s="65"/>
      <c r="I318" s="65"/>
      <c r="J318" s="68"/>
      <c r="K318" s="68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</row>
    <row r="319" spans="1:36" ht="15.75" customHeight="1">
      <c r="A319" s="53"/>
      <c r="B319" s="65"/>
      <c r="C319" s="65"/>
      <c r="D319" s="65"/>
      <c r="E319" s="66"/>
      <c r="F319" s="65"/>
      <c r="G319" s="67"/>
      <c r="H319" s="65"/>
      <c r="I319" s="65"/>
      <c r="J319" s="68"/>
      <c r="K319" s="68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</row>
    <row r="320" spans="1:36" ht="15.75" customHeight="1">
      <c r="A320" s="53"/>
      <c r="B320" s="65"/>
      <c r="C320" s="65"/>
      <c r="D320" s="65"/>
      <c r="E320" s="66"/>
      <c r="F320" s="65"/>
      <c r="G320" s="67"/>
      <c r="H320" s="65"/>
      <c r="I320" s="65"/>
      <c r="J320" s="68"/>
      <c r="K320" s="68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</row>
    <row r="321" spans="1:36" ht="15.75" customHeight="1">
      <c r="A321" s="53"/>
      <c r="B321" s="65"/>
      <c r="C321" s="65"/>
      <c r="D321" s="65"/>
      <c r="E321" s="66"/>
      <c r="F321" s="65"/>
      <c r="G321" s="67"/>
      <c r="H321" s="65"/>
      <c r="I321" s="65"/>
      <c r="J321" s="68"/>
      <c r="K321" s="68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</row>
    <row r="322" spans="1:36" ht="15.75" customHeight="1">
      <c r="A322" s="53"/>
      <c r="B322" s="65"/>
      <c r="C322" s="65"/>
      <c r="D322" s="65"/>
      <c r="E322" s="66"/>
      <c r="F322" s="65"/>
      <c r="G322" s="67"/>
      <c r="H322" s="65"/>
      <c r="I322" s="65"/>
      <c r="J322" s="68"/>
      <c r="K322" s="68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</row>
    <row r="323" spans="1:36" ht="15.75" customHeight="1">
      <c r="A323" s="53"/>
      <c r="B323" s="65"/>
      <c r="C323" s="65"/>
      <c r="D323" s="65"/>
      <c r="E323" s="66"/>
      <c r="F323" s="65"/>
      <c r="G323" s="67"/>
      <c r="H323" s="65"/>
      <c r="I323" s="65"/>
      <c r="J323" s="68"/>
      <c r="K323" s="68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</row>
    <row r="324" spans="1:36" ht="15.75" customHeight="1">
      <c r="A324" s="53"/>
      <c r="B324" s="65"/>
      <c r="C324" s="65"/>
      <c r="D324" s="65"/>
      <c r="E324" s="66"/>
      <c r="F324" s="65"/>
      <c r="G324" s="67"/>
      <c r="H324" s="65"/>
      <c r="I324" s="65"/>
      <c r="J324" s="68"/>
      <c r="K324" s="68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</row>
    <row r="325" spans="1:36" ht="15.75" customHeight="1">
      <c r="A325" s="53"/>
      <c r="B325" s="65"/>
      <c r="C325" s="65"/>
      <c r="D325" s="65"/>
      <c r="E325" s="66"/>
      <c r="F325" s="65"/>
      <c r="G325" s="67"/>
      <c r="H325" s="65"/>
      <c r="I325" s="65"/>
      <c r="J325" s="68"/>
      <c r="K325" s="68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</row>
    <row r="326" spans="1:36" ht="15.75" customHeight="1">
      <c r="A326" s="53"/>
      <c r="B326" s="65"/>
      <c r="C326" s="65"/>
      <c r="D326" s="65"/>
      <c r="E326" s="66"/>
      <c r="F326" s="65"/>
      <c r="G326" s="67"/>
      <c r="H326" s="65"/>
      <c r="I326" s="65"/>
      <c r="J326" s="68"/>
      <c r="K326" s="68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</row>
    <row r="327" spans="1:36" ht="15.75" customHeight="1">
      <c r="A327" s="53"/>
      <c r="B327" s="65"/>
      <c r="C327" s="65"/>
      <c r="D327" s="65"/>
      <c r="E327" s="66"/>
      <c r="F327" s="65"/>
      <c r="G327" s="67"/>
      <c r="H327" s="65"/>
      <c r="I327" s="65"/>
      <c r="J327" s="68"/>
      <c r="K327" s="68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</row>
    <row r="328" spans="1:36" ht="15.75" customHeight="1">
      <c r="A328" s="53"/>
      <c r="B328" s="65"/>
      <c r="C328" s="65"/>
      <c r="D328" s="65"/>
      <c r="E328" s="66"/>
      <c r="F328" s="65"/>
      <c r="G328" s="67"/>
      <c r="H328" s="65"/>
      <c r="I328" s="65"/>
      <c r="J328" s="68"/>
      <c r="K328" s="68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</row>
    <row r="329" spans="1:36" ht="15.75" customHeight="1">
      <c r="A329" s="53"/>
      <c r="B329" s="65"/>
      <c r="C329" s="65"/>
      <c r="D329" s="65"/>
      <c r="E329" s="66"/>
      <c r="F329" s="65"/>
      <c r="G329" s="67"/>
      <c r="H329" s="65"/>
      <c r="I329" s="65"/>
      <c r="J329" s="68"/>
      <c r="K329" s="68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</row>
    <row r="330" spans="1:36" ht="15.75" customHeight="1">
      <c r="A330" s="53"/>
      <c r="B330" s="65"/>
      <c r="C330" s="65"/>
      <c r="D330" s="65"/>
      <c r="E330" s="66"/>
      <c r="F330" s="65"/>
      <c r="G330" s="67"/>
      <c r="H330" s="65"/>
      <c r="I330" s="65"/>
      <c r="J330" s="68"/>
      <c r="K330" s="68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</row>
    <row r="331" spans="1:36" ht="15.75" customHeight="1">
      <c r="A331" s="53"/>
      <c r="B331" s="65"/>
      <c r="C331" s="65"/>
      <c r="D331" s="65"/>
      <c r="E331" s="66"/>
      <c r="F331" s="65"/>
      <c r="G331" s="67"/>
      <c r="H331" s="65"/>
      <c r="I331" s="65"/>
      <c r="J331" s="68"/>
      <c r="K331" s="68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</row>
    <row r="332" spans="1:36" ht="15.75" customHeight="1">
      <c r="A332" s="53"/>
      <c r="B332" s="65"/>
      <c r="C332" s="65"/>
      <c r="D332" s="65"/>
      <c r="E332" s="66"/>
      <c r="F332" s="65"/>
      <c r="G332" s="67"/>
      <c r="H332" s="65"/>
      <c r="I332" s="65"/>
      <c r="J332" s="68"/>
      <c r="K332" s="68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</row>
    <row r="333" spans="1:36" ht="15.75" customHeight="1">
      <c r="A333" s="53"/>
      <c r="B333" s="65"/>
      <c r="C333" s="65"/>
      <c r="D333" s="65"/>
      <c r="E333" s="66"/>
      <c r="F333" s="65"/>
      <c r="G333" s="67"/>
      <c r="H333" s="65"/>
      <c r="I333" s="65"/>
      <c r="J333" s="68"/>
      <c r="K333" s="68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</row>
    <row r="334" spans="1:36" ht="15.75" customHeight="1">
      <c r="A334" s="53"/>
      <c r="B334" s="65"/>
      <c r="C334" s="65"/>
      <c r="D334" s="65"/>
      <c r="E334" s="66"/>
      <c r="F334" s="65"/>
      <c r="G334" s="67"/>
      <c r="H334" s="65"/>
      <c r="I334" s="65"/>
      <c r="J334" s="68"/>
      <c r="K334" s="68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</row>
    <row r="335" spans="1:36" ht="15.75" customHeight="1">
      <c r="A335" s="53"/>
      <c r="B335" s="65"/>
      <c r="C335" s="65"/>
      <c r="D335" s="65"/>
      <c r="E335" s="66"/>
      <c r="F335" s="65"/>
      <c r="G335" s="67"/>
      <c r="H335" s="65"/>
      <c r="I335" s="65"/>
      <c r="J335" s="68"/>
      <c r="K335" s="68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</row>
    <row r="336" spans="1:36" ht="15.75" customHeight="1">
      <c r="A336" s="53"/>
      <c r="B336" s="65"/>
      <c r="C336" s="65"/>
      <c r="D336" s="65"/>
      <c r="E336" s="66"/>
      <c r="F336" s="65"/>
      <c r="G336" s="67"/>
      <c r="H336" s="65"/>
      <c r="I336" s="65"/>
      <c r="J336" s="68"/>
      <c r="K336" s="68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</row>
    <row r="337" spans="1:36" ht="15.75" customHeight="1">
      <c r="A337" s="53"/>
      <c r="B337" s="65"/>
      <c r="C337" s="65"/>
      <c r="D337" s="65"/>
      <c r="E337" s="66"/>
      <c r="F337" s="65"/>
      <c r="G337" s="67"/>
      <c r="H337" s="65"/>
      <c r="I337" s="65"/>
      <c r="J337" s="68"/>
      <c r="K337" s="68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</row>
    <row r="338" spans="1:36" ht="15.75" customHeight="1">
      <c r="A338" s="53"/>
      <c r="B338" s="65"/>
      <c r="C338" s="65"/>
      <c r="D338" s="65"/>
      <c r="E338" s="66"/>
      <c r="F338" s="65"/>
      <c r="G338" s="67"/>
      <c r="H338" s="65"/>
      <c r="I338" s="65"/>
      <c r="J338" s="68"/>
      <c r="K338" s="68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</row>
    <row r="339" spans="1:36" ht="15.75" customHeight="1">
      <c r="A339" s="53"/>
      <c r="B339" s="65"/>
      <c r="C339" s="65"/>
      <c r="D339" s="65"/>
      <c r="E339" s="66"/>
      <c r="F339" s="65"/>
      <c r="G339" s="67"/>
      <c r="H339" s="65"/>
      <c r="I339" s="65"/>
      <c r="J339" s="68"/>
      <c r="K339" s="68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</row>
    <row r="340" spans="1:36" ht="15.75" customHeight="1">
      <c r="A340" s="53"/>
      <c r="B340" s="65"/>
      <c r="C340" s="65"/>
      <c r="D340" s="65"/>
      <c r="E340" s="66"/>
      <c r="F340" s="65"/>
      <c r="G340" s="67"/>
      <c r="H340" s="65"/>
      <c r="I340" s="65"/>
      <c r="J340" s="68"/>
      <c r="K340" s="68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</row>
    <row r="341" spans="1:36" ht="15.75" customHeight="1">
      <c r="A341" s="53"/>
      <c r="B341" s="65"/>
      <c r="C341" s="65"/>
      <c r="D341" s="65"/>
      <c r="E341" s="66"/>
      <c r="F341" s="65"/>
      <c r="G341" s="67"/>
      <c r="H341" s="65"/>
      <c r="I341" s="65"/>
      <c r="J341" s="68"/>
      <c r="K341" s="68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</row>
    <row r="342" spans="1:36" ht="15.75" customHeight="1">
      <c r="A342" s="53"/>
      <c r="B342" s="65"/>
      <c r="C342" s="65"/>
      <c r="D342" s="65"/>
      <c r="E342" s="66"/>
      <c r="F342" s="65"/>
      <c r="G342" s="67"/>
      <c r="H342" s="65"/>
      <c r="I342" s="65"/>
      <c r="J342" s="68"/>
      <c r="K342" s="68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</row>
    <row r="343" spans="1:36" ht="15.75" customHeight="1">
      <c r="A343" s="53"/>
      <c r="B343" s="65"/>
      <c r="C343" s="65"/>
      <c r="D343" s="65"/>
      <c r="E343" s="66"/>
      <c r="F343" s="65"/>
      <c r="G343" s="67"/>
      <c r="H343" s="65"/>
      <c r="I343" s="65"/>
      <c r="J343" s="68"/>
      <c r="K343" s="68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</row>
    <row r="344" spans="1:36" ht="15.75" customHeight="1">
      <c r="A344" s="53"/>
      <c r="B344" s="65"/>
      <c r="C344" s="65"/>
      <c r="D344" s="65"/>
      <c r="E344" s="66"/>
      <c r="F344" s="65"/>
      <c r="G344" s="67"/>
      <c r="H344" s="65"/>
      <c r="I344" s="65"/>
      <c r="J344" s="68"/>
      <c r="K344" s="68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</row>
    <row r="345" spans="1:36" ht="15.75" customHeight="1">
      <c r="A345" s="53"/>
      <c r="B345" s="65"/>
      <c r="C345" s="65"/>
      <c r="D345" s="65"/>
      <c r="E345" s="66"/>
      <c r="F345" s="65"/>
      <c r="G345" s="67"/>
      <c r="H345" s="65"/>
      <c r="I345" s="65"/>
      <c r="J345" s="68"/>
      <c r="K345" s="68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</row>
    <row r="346" spans="1:36" ht="15.75" customHeight="1">
      <c r="A346" s="53"/>
      <c r="B346" s="65"/>
      <c r="C346" s="65"/>
      <c r="D346" s="65"/>
      <c r="E346" s="66"/>
      <c r="F346" s="65"/>
      <c r="G346" s="67"/>
      <c r="H346" s="65"/>
      <c r="I346" s="65"/>
      <c r="J346" s="68"/>
      <c r="K346" s="68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</row>
    <row r="347" spans="1:36" ht="15.75" customHeight="1">
      <c r="A347" s="53"/>
      <c r="B347" s="65"/>
      <c r="C347" s="65"/>
      <c r="D347" s="65"/>
      <c r="E347" s="66"/>
      <c r="F347" s="65"/>
      <c r="G347" s="67"/>
      <c r="H347" s="65"/>
      <c r="I347" s="65"/>
      <c r="J347" s="68"/>
      <c r="K347" s="68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</row>
    <row r="348" spans="1:36" ht="15.75" customHeight="1">
      <c r="A348" s="53"/>
      <c r="B348" s="65"/>
      <c r="C348" s="65"/>
      <c r="D348" s="65"/>
      <c r="E348" s="66"/>
      <c r="F348" s="65"/>
      <c r="G348" s="67"/>
      <c r="H348" s="65"/>
      <c r="I348" s="65"/>
      <c r="J348" s="68"/>
      <c r="K348" s="68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</row>
    <row r="349" spans="1:36" ht="15.75" customHeight="1">
      <c r="A349" s="53"/>
      <c r="B349" s="65"/>
      <c r="C349" s="65"/>
      <c r="D349" s="65"/>
      <c r="E349" s="66"/>
      <c r="F349" s="65"/>
      <c r="G349" s="67"/>
      <c r="H349" s="65"/>
      <c r="I349" s="65"/>
      <c r="J349" s="68"/>
      <c r="K349" s="68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</row>
    <row r="350" spans="1:36" ht="15.75" customHeight="1">
      <c r="A350" s="53"/>
      <c r="B350" s="65"/>
      <c r="C350" s="65"/>
      <c r="D350" s="65"/>
      <c r="E350" s="66"/>
      <c r="F350" s="65"/>
      <c r="G350" s="67"/>
      <c r="H350" s="65"/>
      <c r="I350" s="65"/>
      <c r="J350" s="68"/>
      <c r="K350" s="68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</row>
    <row r="351" spans="1:36" ht="15.75" customHeight="1">
      <c r="A351" s="53"/>
      <c r="B351" s="65"/>
      <c r="C351" s="65"/>
      <c r="D351" s="65"/>
      <c r="E351" s="66"/>
      <c r="F351" s="65"/>
      <c r="G351" s="67"/>
      <c r="H351" s="65"/>
      <c r="I351" s="65"/>
      <c r="J351" s="68"/>
      <c r="K351" s="68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</row>
    <row r="352" spans="1:36" ht="15.75" customHeight="1">
      <c r="A352" s="53"/>
      <c r="B352" s="65"/>
      <c r="C352" s="65"/>
      <c r="D352" s="65"/>
      <c r="E352" s="66"/>
      <c r="F352" s="65"/>
      <c r="G352" s="67"/>
      <c r="H352" s="65"/>
      <c r="I352" s="65"/>
      <c r="J352" s="68"/>
      <c r="K352" s="68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</row>
    <row r="353" spans="1:36" ht="15.75" customHeight="1">
      <c r="A353" s="53"/>
      <c r="B353" s="65"/>
      <c r="C353" s="65"/>
      <c r="D353" s="65"/>
      <c r="E353" s="66"/>
      <c r="F353" s="65"/>
      <c r="G353" s="67"/>
      <c r="H353" s="65"/>
      <c r="I353" s="65"/>
      <c r="J353" s="68"/>
      <c r="K353" s="68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</row>
    <row r="354" spans="1:36" ht="15.75" customHeight="1">
      <c r="A354" s="53"/>
      <c r="B354" s="65"/>
      <c r="C354" s="65"/>
      <c r="D354" s="65"/>
      <c r="E354" s="66"/>
      <c r="F354" s="65"/>
      <c r="G354" s="67"/>
      <c r="H354" s="65"/>
      <c r="I354" s="65"/>
      <c r="J354" s="68"/>
      <c r="K354" s="68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</row>
    <row r="355" spans="1:36" ht="15.75" customHeight="1">
      <c r="A355" s="53"/>
      <c r="B355" s="65"/>
      <c r="C355" s="65"/>
      <c r="D355" s="65"/>
      <c r="E355" s="66"/>
      <c r="F355" s="65"/>
      <c r="G355" s="67"/>
      <c r="H355" s="65"/>
      <c r="I355" s="65"/>
      <c r="J355" s="68"/>
      <c r="K355" s="68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</row>
    <row r="356" spans="1:36" ht="15.75" customHeight="1">
      <c r="A356" s="53"/>
      <c r="B356" s="65"/>
      <c r="C356" s="65"/>
      <c r="D356" s="65"/>
      <c r="E356" s="66"/>
      <c r="F356" s="65"/>
      <c r="G356" s="67"/>
      <c r="H356" s="65"/>
      <c r="I356" s="65"/>
      <c r="J356" s="68"/>
      <c r="K356" s="68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</row>
    <row r="357" spans="1:36" ht="15.75" customHeight="1">
      <c r="A357" s="53"/>
      <c r="B357" s="65"/>
      <c r="C357" s="65"/>
      <c r="D357" s="65"/>
      <c r="E357" s="66"/>
      <c r="F357" s="65"/>
      <c r="G357" s="67"/>
      <c r="H357" s="65"/>
      <c r="I357" s="65"/>
      <c r="J357" s="68"/>
      <c r="K357" s="68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</row>
    <row r="358" spans="1:36" ht="15.75" customHeight="1">
      <c r="A358" s="53"/>
      <c r="B358" s="65"/>
      <c r="C358" s="65"/>
      <c r="D358" s="65"/>
      <c r="E358" s="66"/>
      <c r="F358" s="65"/>
      <c r="G358" s="67"/>
      <c r="H358" s="65"/>
      <c r="I358" s="65"/>
      <c r="J358" s="68"/>
      <c r="K358" s="68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</row>
    <row r="359" spans="1:36" ht="15.75" customHeight="1">
      <c r="A359" s="53"/>
      <c r="B359" s="65"/>
      <c r="C359" s="65"/>
      <c r="D359" s="65"/>
      <c r="E359" s="66"/>
      <c r="F359" s="65"/>
      <c r="G359" s="67"/>
      <c r="H359" s="65"/>
      <c r="I359" s="65"/>
      <c r="J359" s="68"/>
      <c r="K359" s="68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</row>
    <row r="360" spans="1:36" ht="15.75" customHeight="1">
      <c r="A360" s="53"/>
      <c r="B360" s="65"/>
      <c r="C360" s="65"/>
      <c r="D360" s="65"/>
      <c r="E360" s="66"/>
      <c r="F360" s="65"/>
      <c r="G360" s="67"/>
      <c r="H360" s="65"/>
      <c r="I360" s="65"/>
      <c r="J360" s="68"/>
      <c r="K360" s="68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</row>
    <row r="361" spans="1:36" ht="15.75" customHeight="1">
      <c r="A361" s="53"/>
      <c r="B361" s="65"/>
      <c r="C361" s="65"/>
      <c r="D361" s="65"/>
      <c r="E361" s="66"/>
      <c r="F361" s="65"/>
      <c r="G361" s="67"/>
      <c r="H361" s="65"/>
      <c r="I361" s="65"/>
      <c r="J361" s="68"/>
      <c r="K361" s="68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</row>
    <row r="362" spans="1:36" ht="15.75" customHeight="1">
      <c r="A362" s="53"/>
      <c r="B362" s="65"/>
      <c r="C362" s="65"/>
      <c r="D362" s="65"/>
      <c r="E362" s="66"/>
      <c r="F362" s="65"/>
      <c r="G362" s="67"/>
      <c r="H362" s="65"/>
      <c r="I362" s="65"/>
      <c r="J362" s="68"/>
      <c r="K362" s="68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</row>
    <row r="363" spans="1:36" ht="15.75" customHeight="1">
      <c r="A363" s="53"/>
      <c r="B363" s="65"/>
      <c r="C363" s="65"/>
      <c r="D363" s="65"/>
      <c r="E363" s="66"/>
      <c r="F363" s="65"/>
      <c r="G363" s="67"/>
      <c r="H363" s="65"/>
      <c r="I363" s="65"/>
      <c r="J363" s="68"/>
      <c r="K363" s="68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</row>
    <row r="364" spans="1:36" ht="15.75" customHeight="1">
      <c r="A364" s="53"/>
      <c r="B364" s="65"/>
      <c r="C364" s="65"/>
      <c r="D364" s="65"/>
      <c r="E364" s="66"/>
      <c r="F364" s="65"/>
      <c r="G364" s="67"/>
      <c r="H364" s="65"/>
      <c r="I364" s="65"/>
      <c r="J364" s="68"/>
      <c r="K364" s="68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</row>
    <row r="365" spans="1:36" ht="15.75" customHeight="1">
      <c r="A365" s="53"/>
      <c r="B365" s="65"/>
      <c r="C365" s="65"/>
      <c r="D365" s="65"/>
      <c r="E365" s="66"/>
      <c r="F365" s="65"/>
      <c r="G365" s="67"/>
      <c r="H365" s="65"/>
      <c r="I365" s="65"/>
      <c r="J365" s="68"/>
      <c r="K365" s="68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</row>
    <row r="366" spans="1:36" ht="15.75" customHeight="1">
      <c r="A366" s="53"/>
      <c r="B366" s="65"/>
      <c r="C366" s="65"/>
      <c r="D366" s="65"/>
      <c r="E366" s="66"/>
      <c r="F366" s="65"/>
      <c r="G366" s="67"/>
      <c r="H366" s="65"/>
      <c r="I366" s="65"/>
      <c r="J366" s="68"/>
      <c r="K366" s="68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</row>
    <row r="367" spans="1:36" ht="15.75" customHeight="1">
      <c r="A367" s="53"/>
      <c r="B367" s="65"/>
      <c r="C367" s="65"/>
      <c r="D367" s="65"/>
      <c r="E367" s="66"/>
      <c r="F367" s="65"/>
      <c r="G367" s="67"/>
      <c r="H367" s="65"/>
      <c r="I367" s="65"/>
      <c r="J367" s="68"/>
      <c r="K367" s="68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</row>
    <row r="368" spans="1:36" ht="15.75" customHeight="1">
      <c r="A368" s="53"/>
      <c r="B368" s="65"/>
      <c r="C368" s="65"/>
      <c r="D368" s="65"/>
      <c r="E368" s="66"/>
      <c r="F368" s="65"/>
      <c r="G368" s="67"/>
      <c r="H368" s="65"/>
      <c r="I368" s="65"/>
      <c r="J368" s="68"/>
      <c r="K368" s="68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</row>
    <row r="369" spans="1:36" ht="15.75" customHeight="1">
      <c r="A369" s="53"/>
      <c r="B369" s="65"/>
      <c r="C369" s="65"/>
      <c r="D369" s="65"/>
      <c r="E369" s="66"/>
      <c r="F369" s="65"/>
      <c r="G369" s="67"/>
      <c r="H369" s="65"/>
      <c r="I369" s="65"/>
      <c r="J369" s="68"/>
      <c r="K369" s="68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</row>
    <row r="370" spans="1:36" ht="15.75" customHeight="1">
      <c r="A370" s="53"/>
      <c r="B370" s="65"/>
      <c r="C370" s="65"/>
      <c r="D370" s="65"/>
      <c r="E370" s="66"/>
      <c r="F370" s="65"/>
      <c r="G370" s="67"/>
      <c r="H370" s="65"/>
      <c r="I370" s="65"/>
      <c r="J370" s="68"/>
      <c r="K370" s="68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</row>
    <row r="371" spans="1:36" ht="15.75" customHeight="1">
      <c r="A371" s="53"/>
      <c r="B371" s="65"/>
      <c r="C371" s="65"/>
      <c r="D371" s="65"/>
      <c r="E371" s="66"/>
      <c r="F371" s="65"/>
      <c r="G371" s="67"/>
      <c r="H371" s="65"/>
      <c r="I371" s="65"/>
      <c r="J371" s="68"/>
      <c r="K371" s="68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</row>
    <row r="372" spans="1:36" ht="15.75" customHeight="1">
      <c r="A372" s="53"/>
      <c r="B372" s="65"/>
      <c r="C372" s="65"/>
      <c r="D372" s="65"/>
      <c r="E372" s="66"/>
      <c r="F372" s="65"/>
      <c r="G372" s="67"/>
      <c r="H372" s="65"/>
      <c r="I372" s="65"/>
      <c r="J372" s="68"/>
      <c r="K372" s="68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</row>
    <row r="373" spans="1:36" ht="15.75" customHeight="1">
      <c r="A373" s="53"/>
      <c r="B373" s="65"/>
      <c r="C373" s="65"/>
      <c r="D373" s="65"/>
      <c r="E373" s="66"/>
      <c r="F373" s="65"/>
      <c r="G373" s="67"/>
      <c r="H373" s="65"/>
      <c r="I373" s="65"/>
      <c r="J373" s="68"/>
      <c r="K373" s="68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</row>
    <row r="374" spans="1:36" ht="15.75" customHeight="1">
      <c r="A374" s="53"/>
      <c r="B374" s="65"/>
      <c r="C374" s="65"/>
      <c r="D374" s="65"/>
      <c r="E374" s="66"/>
      <c r="F374" s="65"/>
      <c r="G374" s="67"/>
      <c r="H374" s="65"/>
      <c r="I374" s="65"/>
      <c r="J374" s="68"/>
      <c r="K374" s="68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</row>
    <row r="375" spans="1:36" ht="15.75" customHeight="1">
      <c r="A375" s="53"/>
      <c r="B375" s="65"/>
      <c r="C375" s="65"/>
      <c r="D375" s="65"/>
      <c r="E375" s="66"/>
      <c r="F375" s="65"/>
      <c r="G375" s="67"/>
      <c r="H375" s="65"/>
      <c r="I375" s="65"/>
      <c r="J375" s="68"/>
      <c r="K375" s="68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</row>
    <row r="376" spans="1:36" ht="15.75" customHeight="1">
      <c r="A376" s="53"/>
      <c r="B376" s="65"/>
      <c r="C376" s="65"/>
      <c r="D376" s="65"/>
      <c r="E376" s="66"/>
      <c r="F376" s="65"/>
      <c r="G376" s="67"/>
      <c r="H376" s="65"/>
      <c r="I376" s="65"/>
      <c r="J376" s="68"/>
      <c r="K376" s="68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</row>
    <row r="377" spans="1:36" ht="15.75" customHeight="1">
      <c r="A377" s="53"/>
      <c r="B377" s="65"/>
      <c r="C377" s="65"/>
      <c r="D377" s="65"/>
      <c r="E377" s="66"/>
      <c r="F377" s="65"/>
      <c r="G377" s="67"/>
      <c r="H377" s="65"/>
      <c r="I377" s="65"/>
      <c r="J377" s="68"/>
      <c r="K377" s="68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</row>
    <row r="378" spans="1:36" ht="15.75" customHeight="1">
      <c r="A378" s="53"/>
      <c r="B378" s="65"/>
      <c r="C378" s="65"/>
      <c r="D378" s="65"/>
      <c r="E378" s="66"/>
      <c r="F378" s="65"/>
      <c r="G378" s="67"/>
      <c r="H378" s="65"/>
      <c r="I378" s="65"/>
      <c r="J378" s="68"/>
      <c r="K378" s="68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</row>
    <row r="379" spans="1:36" ht="15.75" customHeight="1">
      <c r="A379" s="53"/>
      <c r="B379" s="65"/>
      <c r="C379" s="65"/>
      <c r="D379" s="65"/>
      <c r="E379" s="66"/>
      <c r="F379" s="65"/>
      <c r="G379" s="67"/>
      <c r="H379" s="65"/>
      <c r="I379" s="65"/>
      <c r="J379" s="68"/>
      <c r="K379" s="68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</row>
    <row r="380" spans="1:36" ht="15.75" customHeight="1">
      <c r="A380" s="53"/>
      <c r="B380" s="65"/>
      <c r="C380" s="65"/>
      <c r="D380" s="65"/>
      <c r="E380" s="66"/>
      <c r="F380" s="65"/>
      <c r="G380" s="67"/>
      <c r="H380" s="65"/>
      <c r="I380" s="65"/>
      <c r="J380" s="68"/>
      <c r="K380" s="68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</row>
    <row r="381" spans="1:36" ht="15.75" customHeight="1">
      <c r="A381" s="53"/>
      <c r="B381" s="65"/>
      <c r="C381" s="65"/>
      <c r="D381" s="65"/>
      <c r="E381" s="66"/>
      <c r="F381" s="65"/>
      <c r="G381" s="67"/>
      <c r="H381" s="65"/>
      <c r="I381" s="65"/>
      <c r="J381" s="68"/>
      <c r="K381" s="68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</row>
    <row r="382" spans="1:36" ht="15.75" customHeight="1">
      <c r="A382" s="53"/>
      <c r="B382" s="65"/>
      <c r="C382" s="65"/>
      <c r="D382" s="65"/>
      <c r="E382" s="66"/>
      <c r="F382" s="65"/>
      <c r="G382" s="67"/>
      <c r="H382" s="65"/>
      <c r="I382" s="65"/>
      <c r="J382" s="68"/>
      <c r="K382" s="68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</row>
    <row r="383" spans="1:36" ht="15.75" customHeight="1">
      <c r="A383" s="53"/>
      <c r="B383" s="65"/>
      <c r="C383" s="65"/>
      <c r="D383" s="65"/>
      <c r="E383" s="66"/>
      <c r="F383" s="65"/>
      <c r="G383" s="67"/>
      <c r="H383" s="65"/>
      <c r="I383" s="65"/>
      <c r="J383" s="68"/>
      <c r="K383" s="68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</row>
    <row r="384" spans="1:36" ht="15.75" customHeight="1">
      <c r="A384" s="53"/>
      <c r="B384" s="65"/>
      <c r="C384" s="65"/>
      <c r="D384" s="65"/>
      <c r="E384" s="66"/>
      <c r="F384" s="65"/>
      <c r="G384" s="67"/>
      <c r="H384" s="65"/>
      <c r="I384" s="65"/>
      <c r="J384" s="68"/>
      <c r="K384" s="68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</row>
    <row r="385" spans="1:36" ht="15.75" customHeight="1">
      <c r="A385" s="53"/>
      <c r="B385" s="65"/>
      <c r="C385" s="65"/>
      <c r="D385" s="65"/>
      <c r="E385" s="66"/>
      <c r="F385" s="65"/>
      <c r="G385" s="67"/>
      <c r="H385" s="65"/>
      <c r="I385" s="65"/>
      <c r="J385" s="68"/>
      <c r="K385" s="68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</row>
    <row r="386" spans="1:36" ht="15.75" customHeight="1">
      <c r="A386" s="53"/>
      <c r="B386" s="65"/>
      <c r="C386" s="65"/>
      <c r="D386" s="65"/>
      <c r="E386" s="66"/>
      <c r="F386" s="65"/>
      <c r="G386" s="67"/>
      <c r="H386" s="65"/>
      <c r="I386" s="65"/>
      <c r="J386" s="68"/>
      <c r="K386" s="68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</row>
    <row r="387" spans="1:36" ht="15.75" customHeight="1">
      <c r="A387" s="53"/>
      <c r="B387" s="65"/>
      <c r="C387" s="65"/>
      <c r="D387" s="65"/>
      <c r="E387" s="66"/>
      <c r="F387" s="65"/>
      <c r="G387" s="67"/>
      <c r="H387" s="65"/>
      <c r="I387" s="65"/>
      <c r="J387" s="68"/>
      <c r="K387" s="68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</row>
    <row r="388" spans="1:36" ht="15.75" customHeight="1">
      <c r="A388" s="53"/>
      <c r="B388" s="65"/>
      <c r="C388" s="65"/>
      <c r="D388" s="65"/>
      <c r="E388" s="66"/>
      <c r="F388" s="65"/>
      <c r="G388" s="67"/>
      <c r="H388" s="65"/>
      <c r="I388" s="65"/>
      <c r="J388" s="68"/>
      <c r="K388" s="68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</row>
    <row r="389" spans="1:36" ht="15.75" customHeight="1">
      <c r="A389" s="53"/>
      <c r="B389" s="65"/>
      <c r="C389" s="65"/>
      <c r="D389" s="65"/>
      <c r="E389" s="66"/>
      <c r="F389" s="65"/>
      <c r="G389" s="67"/>
      <c r="H389" s="65"/>
      <c r="I389" s="65"/>
      <c r="J389" s="68"/>
      <c r="K389" s="68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</row>
    <row r="390" spans="1:36" ht="15.75" customHeight="1">
      <c r="A390" s="53"/>
      <c r="B390" s="65"/>
      <c r="C390" s="65"/>
      <c r="D390" s="65"/>
      <c r="E390" s="66"/>
      <c r="F390" s="65"/>
      <c r="G390" s="67"/>
      <c r="H390" s="65"/>
      <c r="I390" s="65"/>
      <c r="J390" s="68"/>
      <c r="K390" s="68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</row>
    <row r="391" spans="1:36" ht="15.75" customHeight="1">
      <c r="A391" s="53"/>
      <c r="B391" s="65"/>
      <c r="C391" s="65"/>
      <c r="D391" s="65"/>
      <c r="E391" s="66"/>
      <c r="F391" s="65"/>
      <c r="G391" s="67"/>
      <c r="H391" s="65"/>
      <c r="I391" s="65"/>
      <c r="J391" s="68"/>
      <c r="K391" s="68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</row>
    <row r="392" spans="1:36" ht="15.75" customHeight="1">
      <c r="A392" s="53"/>
      <c r="B392" s="65"/>
      <c r="C392" s="65"/>
      <c r="D392" s="65"/>
      <c r="E392" s="66"/>
      <c r="F392" s="65"/>
      <c r="G392" s="67"/>
      <c r="H392" s="65"/>
      <c r="I392" s="65"/>
      <c r="J392" s="68"/>
      <c r="K392" s="68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</row>
    <row r="393" spans="1:36" ht="15.75" customHeight="1">
      <c r="A393" s="53"/>
      <c r="B393" s="65"/>
      <c r="C393" s="65"/>
      <c r="D393" s="65"/>
      <c r="E393" s="66"/>
      <c r="F393" s="65"/>
      <c r="G393" s="67"/>
      <c r="H393" s="65"/>
      <c r="I393" s="65"/>
      <c r="J393" s="68"/>
      <c r="K393" s="68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</row>
    <row r="394" spans="1:36" ht="15.75" customHeight="1">
      <c r="A394" s="53"/>
      <c r="B394" s="65"/>
      <c r="C394" s="65"/>
      <c r="D394" s="65"/>
      <c r="E394" s="66"/>
      <c r="F394" s="65"/>
      <c r="G394" s="67"/>
      <c r="H394" s="65"/>
      <c r="I394" s="65"/>
      <c r="J394" s="68"/>
      <c r="K394" s="68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</row>
    <row r="395" spans="1:36" ht="15.75" customHeight="1">
      <c r="A395" s="53"/>
      <c r="B395" s="65"/>
      <c r="C395" s="65"/>
      <c r="D395" s="65"/>
      <c r="E395" s="66"/>
      <c r="F395" s="65"/>
      <c r="G395" s="67"/>
      <c r="H395" s="65"/>
      <c r="I395" s="65"/>
      <c r="J395" s="68"/>
      <c r="K395" s="68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</row>
    <row r="396" spans="1:36" ht="15.75" customHeight="1">
      <c r="A396" s="53"/>
      <c r="B396" s="65"/>
      <c r="C396" s="65"/>
      <c r="D396" s="65"/>
      <c r="E396" s="66"/>
      <c r="F396" s="65"/>
      <c r="G396" s="67"/>
      <c r="H396" s="65"/>
      <c r="I396" s="65"/>
      <c r="J396" s="68"/>
      <c r="K396" s="68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</row>
    <row r="397" spans="1:36" ht="15.75" customHeight="1">
      <c r="A397" s="53"/>
      <c r="B397" s="65"/>
      <c r="C397" s="65"/>
      <c r="D397" s="65"/>
      <c r="E397" s="66"/>
      <c r="F397" s="65"/>
      <c r="G397" s="67"/>
      <c r="H397" s="65"/>
      <c r="I397" s="65"/>
      <c r="J397" s="68"/>
      <c r="K397" s="68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</row>
    <row r="398" spans="1:36" ht="15.75" customHeight="1">
      <c r="A398" s="53"/>
      <c r="B398" s="65"/>
      <c r="C398" s="65"/>
      <c r="D398" s="65"/>
      <c r="E398" s="66"/>
      <c r="F398" s="65"/>
      <c r="G398" s="67"/>
      <c r="H398" s="65"/>
      <c r="I398" s="65"/>
      <c r="J398" s="68"/>
      <c r="K398" s="68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</row>
    <row r="399" spans="1:36" ht="15.75" customHeight="1">
      <c r="A399" s="53"/>
      <c r="B399" s="65"/>
      <c r="C399" s="65"/>
      <c r="D399" s="65"/>
      <c r="E399" s="66"/>
      <c r="F399" s="65"/>
      <c r="G399" s="67"/>
      <c r="H399" s="65"/>
      <c r="I399" s="65"/>
      <c r="J399" s="68"/>
      <c r="K399" s="68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</row>
    <row r="400" spans="1:36" ht="15.75" customHeight="1">
      <c r="A400" s="53"/>
      <c r="B400" s="65"/>
      <c r="C400" s="65"/>
      <c r="D400" s="65"/>
      <c r="E400" s="66"/>
      <c r="F400" s="65"/>
      <c r="G400" s="67"/>
      <c r="H400" s="65"/>
      <c r="I400" s="65"/>
      <c r="J400" s="68"/>
      <c r="K400" s="68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</row>
    <row r="401" spans="1:36" ht="15.75" customHeight="1">
      <c r="A401" s="53"/>
      <c r="B401" s="65"/>
      <c r="C401" s="65"/>
      <c r="D401" s="65"/>
      <c r="E401" s="66"/>
      <c r="F401" s="65"/>
      <c r="G401" s="67"/>
      <c r="H401" s="65"/>
      <c r="I401" s="65"/>
      <c r="J401" s="68"/>
      <c r="K401" s="68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</row>
    <row r="402" spans="1:36" ht="15.75" customHeight="1">
      <c r="A402" s="53"/>
      <c r="B402" s="65"/>
      <c r="C402" s="65"/>
      <c r="D402" s="65"/>
      <c r="E402" s="66"/>
      <c r="F402" s="65"/>
      <c r="G402" s="67"/>
      <c r="H402" s="65"/>
      <c r="I402" s="65"/>
      <c r="J402" s="68"/>
      <c r="K402" s="68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</row>
    <row r="403" spans="1:36" ht="15.75" customHeight="1">
      <c r="A403" s="53"/>
      <c r="B403" s="65"/>
      <c r="C403" s="65"/>
      <c r="D403" s="65"/>
      <c r="E403" s="66"/>
      <c r="F403" s="65"/>
      <c r="G403" s="67"/>
      <c r="H403" s="65"/>
      <c r="I403" s="65"/>
      <c r="J403" s="68"/>
      <c r="K403" s="68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</row>
    <row r="404" spans="1:36" ht="15.75" customHeight="1">
      <c r="A404" s="53"/>
      <c r="B404" s="65"/>
      <c r="C404" s="65"/>
      <c r="D404" s="65"/>
      <c r="E404" s="66"/>
      <c r="F404" s="65"/>
      <c r="G404" s="67"/>
      <c r="H404" s="65"/>
      <c r="I404" s="65"/>
      <c r="J404" s="68"/>
      <c r="K404" s="68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</row>
    <row r="405" spans="1:36" ht="15.75" customHeight="1">
      <c r="A405" s="53"/>
      <c r="B405" s="65"/>
      <c r="C405" s="65"/>
      <c r="D405" s="65"/>
      <c r="E405" s="66"/>
      <c r="F405" s="65"/>
      <c r="G405" s="67"/>
      <c r="H405" s="65"/>
      <c r="I405" s="65"/>
      <c r="J405" s="68"/>
      <c r="K405" s="68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</row>
    <row r="406" spans="1:36" ht="15.75" customHeight="1">
      <c r="A406" s="53"/>
      <c r="B406" s="65"/>
      <c r="C406" s="65"/>
      <c r="D406" s="65"/>
      <c r="E406" s="66"/>
      <c r="F406" s="65"/>
      <c r="G406" s="67"/>
      <c r="H406" s="65"/>
      <c r="I406" s="65"/>
      <c r="J406" s="68"/>
      <c r="K406" s="68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</row>
    <row r="407" spans="1:36" ht="15.75" customHeight="1">
      <c r="A407" s="53"/>
      <c r="B407" s="65"/>
      <c r="C407" s="65"/>
      <c r="D407" s="65"/>
      <c r="E407" s="66"/>
      <c r="F407" s="65"/>
      <c r="G407" s="67"/>
      <c r="H407" s="65"/>
      <c r="I407" s="65"/>
      <c r="J407" s="68"/>
      <c r="K407" s="68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</row>
    <row r="408" spans="1:36" ht="15.75" customHeight="1">
      <c r="A408" s="53"/>
      <c r="B408" s="65"/>
      <c r="C408" s="65"/>
      <c r="D408" s="65"/>
      <c r="E408" s="66"/>
      <c r="F408" s="65"/>
      <c r="G408" s="67"/>
      <c r="H408" s="65"/>
      <c r="I408" s="65"/>
      <c r="J408" s="68"/>
      <c r="K408" s="68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</row>
    <row r="409" spans="1:36" ht="15.75" customHeight="1">
      <c r="A409" s="53"/>
      <c r="B409" s="65"/>
      <c r="C409" s="65"/>
      <c r="D409" s="65"/>
      <c r="E409" s="66"/>
      <c r="F409" s="65"/>
      <c r="G409" s="67"/>
      <c r="H409" s="65"/>
      <c r="I409" s="65"/>
      <c r="J409" s="68"/>
      <c r="K409" s="68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</row>
    <row r="410" spans="1:36" ht="15.75" customHeight="1">
      <c r="A410" s="53"/>
      <c r="B410" s="65"/>
      <c r="C410" s="65"/>
      <c r="D410" s="65"/>
      <c r="E410" s="66"/>
      <c r="F410" s="65"/>
      <c r="G410" s="67"/>
      <c r="H410" s="65"/>
      <c r="I410" s="65"/>
      <c r="J410" s="68"/>
      <c r="K410" s="68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</row>
    <row r="411" spans="1:36" ht="15.75" customHeight="1">
      <c r="A411" s="53"/>
      <c r="B411" s="65"/>
      <c r="C411" s="65"/>
      <c r="D411" s="65"/>
      <c r="E411" s="66"/>
      <c r="F411" s="65"/>
      <c r="G411" s="67"/>
      <c r="H411" s="65"/>
      <c r="I411" s="65"/>
      <c r="J411" s="68"/>
      <c r="K411" s="68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</row>
    <row r="412" spans="1:36" ht="15.75" customHeight="1">
      <c r="A412" s="53"/>
      <c r="B412" s="65"/>
      <c r="C412" s="65"/>
      <c r="D412" s="65"/>
      <c r="E412" s="66"/>
      <c r="F412" s="65"/>
      <c r="G412" s="67"/>
      <c r="H412" s="65"/>
      <c r="I412" s="65"/>
      <c r="J412" s="68"/>
      <c r="K412" s="68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</row>
    <row r="413" spans="1:36" ht="15.75" customHeight="1">
      <c r="A413" s="53"/>
      <c r="B413" s="65"/>
      <c r="C413" s="65"/>
      <c r="D413" s="65"/>
      <c r="E413" s="66"/>
      <c r="F413" s="65"/>
      <c r="G413" s="67"/>
      <c r="H413" s="65"/>
      <c r="I413" s="65"/>
      <c r="J413" s="68"/>
      <c r="K413" s="68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</row>
    <row r="414" spans="1:36" ht="15.75" customHeight="1">
      <c r="A414" s="53"/>
      <c r="B414" s="65"/>
      <c r="C414" s="65"/>
      <c r="D414" s="65"/>
      <c r="E414" s="66"/>
      <c r="F414" s="65"/>
      <c r="G414" s="67"/>
      <c r="H414" s="65"/>
      <c r="I414" s="65"/>
      <c r="J414" s="68"/>
      <c r="K414" s="68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</row>
    <row r="415" spans="1:36" ht="15.75" customHeight="1">
      <c r="A415" s="53"/>
      <c r="B415" s="65"/>
      <c r="C415" s="65"/>
      <c r="D415" s="65"/>
      <c r="E415" s="66"/>
      <c r="F415" s="65"/>
      <c r="G415" s="67"/>
      <c r="H415" s="65"/>
      <c r="I415" s="65"/>
      <c r="J415" s="68"/>
      <c r="K415" s="68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</row>
    <row r="416" spans="1:36" ht="15.75" customHeight="1">
      <c r="A416" s="53"/>
      <c r="B416" s="65"/>
      <c r="C416" s="65"/>
      <c r="D416" s="65"/>
      <c r="E416" s="66"/>
      <c r="F416" s="65"/>
      <c r="G416" s="67"/>
      <c r="H416" s="65"/>
      <c r="I416" s="65"/>
      <c r="J416" s="68"/>
      <c r="K416" s="68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</row>
    <row r="417" spans="1:36" ht="15.75" customHeight="1">
      <c r="A417" s="53"/>
      <c r="B417" s="65"/>
      <c r="C417" s="65"/>
      <c r="D417" s="65"/>
      <c r="E417" s="66"/>
      <c r="F417" s="65"/>
      <c r="G417" s="67"/>
      <c r="H417" s="65"/>
      <c r="I417" s="65"/>
      <c r="J417" s="68"/>
      <c r="K417" s="68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</row>
    <row r="418" spans="1:36" ht="15.75" customHeight="1">
      <c r="A418" s="53"/>
      <c r="B418" s="65"/>
      <c r="C418" s="65"/>
      <c r="D418" s="65"/>
      <c r="E418" s="66"/>
      <c r="F418" s="65"/>
      <c r="G418" s="67"/>
      <c r="H418" s="65"/>
      <c r="I418" s="65"/>
      <c r="J418" s="68"/>
      <c r="K418" s="68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</row>
    <row r="419" spans="1:36" ht="15.75" customHeight="1">
      <c r="A419" s="53"/>
      <c r="B419" s="65"/>
      <c r="C419" s="65"/>
      <c r="D419" s="65"/>
      <c r="E419" s="66"/>
      <c r="F419" s="65"/>
      <c r="G419" s="67"/>
      <c r="H419" s="65"/>
      <c r="I419" s="65"/>
      <c r="J419" s="68"/>
      <c r="K419" s="68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</row>
    <row r="420" spans="1:36" ht="15.75" customHeight="1">
      <c r="A420" s="53"/>
      <c r="B420" s="65"/>
      <c r="C420" s="65"/>
      <c r="D420" s="65"/>
      <c r="E420" s="66"/>
      <c r="F420" s="65"/>
      <c r="G420" s="67"/>
      <c r="H420" s="65"/>
      <c r="I420" s="65"/>
      <c r="J420" s="68"/>
      <c r="K420" s="68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</row>
    <row r="421" spans="1:36" ht="15.75" customHeight="1">
      <c r="A421" s="53"/>
      <c r="B421" s="65"/>
      <c r="C421" s="65"/>
      <c r="D421" s="65"/>
      <c r="E421" s="66"/>
      <c r="F421" s="65"/>
      <c r="G421" s="67"/>
      <c r="H421" s="65"/>
      <c r="I421" s="65"/>
      <c r="J421" s="68"/>
      <c r="K421" s="68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</row>
    <row r="422" spans="1:36" ht="15.75" customHeight="1">
      <c r="A422" s="53"/>
      <c r="B422" s="65"/>
      <c r="C422" s="65"/>
      <c r="D422" s="65"/>
      <c r="E422" s="66"/>
      <c r="F422" s="65"/>
      <c r="G422" s="67"/>
      <c r="H422" s="65"/>
      <c r="I422" s="65"/>
      <c r="J422" s="68"/>
      <c r="K422" s="68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</row>
    <row r="423" spans="1:36" ht="15.75" customHeight="1">
      <c r="A423" s="53"/>
      <c r="B423" s="65"/>
      <c r="C423" s="65"/>
      <c r="D423" s="65"/>
      <c r="E423" s="66"/>
      <c r="F423" s="65"/>
      <c r="G423" s="67"/>
      <c r="H423" s="65"/>
      <c r="I423" s="65"/>
      <c r="J423" s="68"/>
      <c r="K423" s="68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</row>
    <row r="424" spans="1:36" ht="15.75" customHeight="1">
      <c r="A424" s="53"/>
      <c r="B424" s="65"/>
      <c r="C424" s="65"/>
      <c r="D424" s="65"/>
      <c r="E424" s="66"/>
      <c r="F424" s="65"/>
      <c r="G424" s="67"/>
      <c r="H424" s="65"/>
      <c r="I424" s="65"/>
      <c r="J424" s="68"/>
      <c r="K424" s="68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</row>
    <row r="425" spans="1:36" ht="15.75" customHeight="1">
      <c r="A425" s="53"/>
      <c r="B425" s="65"/>
      <c r="C425" s="65"/>
      <c r="D425" s="65"/>
      <c r="E425" s="66"/>
      <c r="F425" s="65"/>
      <c r="G425" s="67"/>
      <c r="H425" s="65"/>
      <c r="I425" s="65"/>
      <c r="J425" s="68"/>
      <c r="K425" s="68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</row>
    <row r="426" spans="1:36" ht="15.75" customHeight="1">
      <c r="A426" s="53"/>
      <c r="B426" s="65"/>
      <c r="C426" s="65"/>
      <c r="D426" s="65"/>
      <c r="E426" s="66"/>
      <c r="F426" s="65"/>
      <c r="G426" s="67"/>
      <c r="H426" s="65"/>
      <c r="I426" s="65"/>
      <c r="J426" s="68"/>
      <c r="K426" s="68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</row>
    <row r="427" spans="1:36" ht="15.75" customHeight="1">
      <c r="A427" s="53"/>
      <c r="B427" s="65"/>
      <c r="C427" s="65"/>
      <c r="D427" s="65"/>
      <c r="E427" s="66"/>
      <c r="F427" s="65"/>
      <c r="G427" s="67"/>
      <c r="H427" s="65"/>
      <c r="I427" s="65"/>
      <c r="J427" s="68"/>
      <c r="K427" s="68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</row>
    <row r="428" spans="1:36" ht="15.75" customHeight="1">
      <c r="A428" s="53"/>
      <c r="B428" s="65"/>
      <c r="C428" s="65"/>
      <c r="D428" s="65"/>
      <c r="E428" s="66"/>
      <c r="F428" s="65"/>
      <c r="G428" s="67"/>
      <c r="H428" s="65"/>
      <c r="I428" s="65"/>
      <c r="J428" s="68"/>
      <c r="K428" s="68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</row>
    <row r="429" spans="1:36" ht="15.75" customHeight="1">
      <c r="A429" s="53"/>
      <c r="B429" s="65"/>
      <c r="C429" s="65"/>
      <c r="D429" s="65"/>
      <c r="E429" s="66"/>
      <c r="F429" s="65"/>
      <c r="G429" s="67"/>
      <c r="H429" s="65"/>
      <c r="I429" s="65"/>
      <c r="J429" s="68"/>
      <c r="K429" s="68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</row>
    <row r="430" spans="1:36" ht="15.75" customHeight="1">
      <c r="A430" s="53"/>
      <c r="B430" s="65"/>
      <c r="C430" s="65"/>
      <c r="D430" s="65"/>
      <c r="E430" s="66"/>
      <c r="F430" s="65"/>
      <c r="G430" s="67"/>
      <c r="H430" s="65"/>
      <c r="I430" s="65"/>
      <c r="J430" s="68"/>
      <c r="K430" s="68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</row>
    <row r="431" spans="1:36" ht="15.75" customHeight="1">
      <c r="A431" s="53"/>
      <c r="B431" s="65"/>
      <c r="C431" s="65"/>
      <c r="D431" s="65"/>
      <c r="E431" s="66"/>
      <c r="F431" s="65"/>
      <c r="G431" s="67"/>
      <c r="H431" s="65"/>
      <c r="I431" s="65"/>
      <c r="J431" s="68"/>
      <c r="K431" s="68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</row>
    <row r="432" spans="1:36" ht="15.75" customHeight="1">
      <c r="A432" s="53"/>
      <c r="B432" s="65"/>
      <c r="C432" s="65"/>
      <c r="D432" s="65"/>
      <c r="E432" s="66"/>
      <c r="F432" s="65"/>
      <c r="G432" s="67"/>
      <c r="H432" s="65"/>
      <c r="I432" s="65"/>
      <c r="J432" s="68"/>
      <c r="K432" s="68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</row>
    <row r="433" spans="1:36" ht="15.75" customHeight="1">
      <c r="A433" s="53"/>
      <c r="B433" s="65"/>
      <c r="C433" s="65"/>
      <c r="D433" s="65"/>
      <c r="E433" s="66"/>
      <c r="F433" s="65"/>
      <c r="G433" s="67"/>
      <c r="H433" s="65"/>
      <c r="I433" s="65"/>
      <c r="J433" s="68"/>
      <c r="K433" s="68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</row>
    <row r="434" spans="1:36" ht="15.75" customHeight="1">
      <c r="A434" s="53"/>
      <c r="B434" s="65"/>
      <c r="C434" s="65"/>
      <c r="D434" s="65"/>
      <c r="E434" s="66"/>
      <c r="F434" s="65"/>
      <c r="G434" s="67"/>
      <c r="H434" s="65"/>
      <c r="I434" s="65"/>
      <c r="J434" s="68"/>
      <c r="K434" s="68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</row>
    <row r="435" spans="1:36" ht="15.75" customHeight="1">
      <c r="A435" s="53"/>
      <c r="B435" s="65"/>
      <c r="C435" s="65"/>
      <c r="D435" s="65"/>
      <c r="E435" s="66"/>
      <c r="F435" s="65"/>
      <c r="G435" s="67"/>
      <c r="H435" s="65"/>
      <c r="I435" s="65"/>
      <c r="J435" s="68"/>
      <c r="K435" s="68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</row>
    <row r="436" spans="1:36" ht="15.75" customHeight="1">
      <c r="A436" s="53"/>
      <c r="B436" s="65"/>
      <c r="C436" s="65"/>
      <c r="D436" s="65"/>
      <c r="E436" s="66"/>
      <c r="F436" s="65"/>
      <c r="G436" s="67"/>
      <c r="H436" s="65"/>
      <c r="I436" s="65"/>
      <c r="J436" s="68"/>
      <c r="K436" s="68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</row>
    <row r="437" spans="1:36" ht="15.75" customHeight="1">
      <c r="A437" s="53"/>
      <c r="B437" s="65"/>
      <c r="C437" s="65"/>
      <c r="D437" s="65"/>
      <c r="E437" s="66"/>
      <c r="F437" s="65"/>
      <c r="G437" s="67"/>
      <c r="H437" s="65"/>
      <c r="I437" s="65"/>
      <c r="J437" s="68"/>
      <c r="K437" s="68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</row>
    <row r="438" spans="1:36" ht="15.75" customHeight="1">
      <c r="A438" s="53"/>
      <c r="B438" s="65"/>
      <c r="C438" s="65"/>
      <c r="D438" s="65"/>
      <c r="E438" s="66"/>
      <c r="F438" s="65"/>
      <c r="G438" s="67"/>
      <c r="H438" s="65"/>
      <c r="I438" s="65"/>
      <c r="J438" s="68"/>
      <c r="K438" s="68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</row>
    <row r="439" spans="1:36" ht="15.75" customHeight="1">
      <c r="A439" s="53"/>
      <c r="B439" s="65"/>
      <c r="C439" s="65"/>
      <c r="D439" s="65"/>
      <c r="E439" s="66"/>
      <c r="F439" s="65"/>
      <c r="G439" s="67"/>
      <c r="H439" s="65"/>
      <c r="I439" s="65"/>
      <c r="J439" s="68"/>
      <c r="K439" s="68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</row>
    <row r="440" spans="1:36" ht="15.75" customHeight="1">
      <c r="A440" s="53"/>
      <c r="B440" s="65"/>
      <c r="C440" s="65"/>
      <c r="D440" s="65"/>
      <c r="E440" s="66"/>
      <c r="F440" s="65"/>
      <c r="G440" s="67"/>
      <c r="H440" s="65"/>
      <c r="I440" s="65"/>
      <c r="J440" s="68"/>
      <c r="K440" s="68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</row>
    <row r="441" spans="1:36" ht="15.75" customHeight="1">
      <c r="A441" s="53"/>
      <c r="B441" s="65"/>
      <c r="C441" s="65"/>
      <c r="D441" s="65"/>
      <c r="E441" s="66"/>
      <c r="F441" s="65"/>
      <c r="G441" s="67"/>
      <c r="H441" s="65"/>
      <c r="I441" s="65"/>
      <c r="J441" s="68"/>
      <c r="K441" s="68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</row>
    <row r="442" spans="1:36" ht="15.75" customHeight="1">
      <c r="A442" s="53"/>
      <c r="B442" s="65"/>
      <c r="C442" s="65"/>
      <c r="D442" s="65"/>
      <c r="E442" s="66"/>
      <c r="F442" s="65"/>
      <c r="G442" s="67"/>
      <c r="H442" s="65"/>
      <c r="I442" s="65"/>
      <c r="J442" s="68"/>
      <c r="K442" s="68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</row>
    <row r="443" spans="1:36" ht="15.75" customHeight="1">
      <c r="A443" s="53"/>
      <c r="B443" s="65"/>
      <c r="C443" s="65"/>
      <c r="D443" s="65"/>
      <c r="E443" s="66"/>
      <c r="F443" s="65"/>
      <c r="G443" s="67"/>
      <c r="H443" s="65"/>
      <c r="I443" s="65"/>
      <c r="J443" s="68"/>
      <c r="K443" s="68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</row>
    <row r="444" spans="1:36" ht="15.75" customHeight="1">
      <c r="A444" s="53"/>
      <c r="B444" s="65"/>
      <c r="C444" s="65"/>
      <c r="D444" s="65"/>
      <c r="E444" s="66"/>
      <c r="F444" s="65"/>
      <c r="G444" s="67"/>
      <c r="H444" s="65"/>
      <c r="I444" s="65"/>
      <c r="J444" s="68"/>
      <c r="K444" s="68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</row>
    <row r="445" spans="1:36" ht="15.75" customHeight="1">
      <c r="A445" s="53"/>
      <c r="B445" s="65"/>
      <c r="C445" s="65"/>
      <c r="D445" s="65"/>
      <c r="E445" s="66"/>
      <c r="F445" s="65"/>
      <c r="G445" s="67"/>
      <c r="H445" s="65"/>
      <c r="I445" s="65"/>
      <c r="J445" s="68"/>
      <c r="K445" s="68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</row>
    <row r="446" spans="1:36" ht="15.75" customHeight="1">
      <c r="A446" s="53"/>
      <c r="B446" s="65"/>
      <c r="C446" s="65"/>
      <c r="D446" s="65"/>
      <c r="E446" s="66"/>
      <c r="F446" s="65"/>
      <c r="G446" s="67"/>
      <c r="H446" s="65"/>
      <c r="I446" s="65"/>
      <c r="J446" s="68"/>
      <c r="K446" s="68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</row>
    <row r="447" spans="1:36" ht="15.75" customHeight="1">
      <c r="A447" s="53"/>
      <c r="B447" s="65"/>
      <c r="C447" s="65"/>
      <c r="D447" s="65"/>
      <c r="E447" s="66"/>
      <c r="F447" s="65"/>
      <c r="G447" s="67"/>
      <c r="H447" s="65"/>
      <c r="I447" s="65"/>
      <c r="J447" s="68"/>
      <c r="K447" s="68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</row>
    <row r="448" spans="1:36" ht="15.75" customHeight="1">
      <c r="A448" s="53"/>
      <c r="B448" s="65"/>
      <c r="C448" s="65"/>
      <c r="D448" s="65"/>
      <c r="E448" s="66"/>
      <c r="F448" s="65"/>
      <c r="G448" s="67"/>
      <c r="H448" s="65"/>
      <c r="I448" s="65"/>
      <c r="J448" s="68"/>
      <c r="K448" s="68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</row>
    <row r="449" spans="1:36" ht="15.75" customHeight="1">
      <c r="A449" s="53"/>
      <c r="B449" s="65"/>
      <c r="C449" s="65"/>
      <c r="D449" s="65"/>
      <c r="E449" s="66"/>
      <c r="F449" s="65"/>
      <c r="G449" s="67"/>
      <c r="H449" s="65"/>
      <c r="I449" s="65"/>
      <c r="J449" s="68"/>
      <c r="K449" s="68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</row>
    <row r="450" spans="1:36" ht="15.75" customHeight="1">
      <c r="A450" s="53"/>
      <c r="B450" s="65"/>
      <c r="C450" s="65"/>
      <c r="D450" s="65"/>
      <c r="E450" s="66"/>
      <c r="F450" s="65"/>
      <c r="G450" s="67"/>
      <c r="H450" s="65"/>
      <c r="I450" s="65"/>
      <c r="J450" s="68"/>
      <c r="K450" s="68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</row>
    <row r="451" spans="1:36" ht="15.75" customHeight="1">
      <c r="A451" s="53"/>
      <c r="B451" s="65"/>
      <c r="C451" s="65"/>
      <c r="D451" s="65"/>
      <c r="E451" s="66"/>
      <c r="F451" s="65"/>
      <c r="G451" s="67"/>
      <c r="H451" s="65"/>
      <c r="I451" s="65"/>
      <c r="J451" s="68"/>
      <c r="K451" s="68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</row>
    <row r="452" spans="1:36" ht="15.75" customHeight="1">
      <c r="A452" s="53"/>
      <c r="B452" s="65"/>
      <c r="C452" s="65"/>
      <c r="D452" s="65"/>
      <c r="E452" s="66"/>
      <c r="F452" s="65"/>
      <c r="G452" s="67"/>
      <c r="H452" s="65"/>
      <c r="I452" s="65"/>
      <c r="J452" s="68"/>
      <c r="K452" s="68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</row>
    <row r="453" spans="1:36" ht="15.75" customHeight="1">
      <c r="A453" s="53"/>
      <c r="B453" s="65"/>
      <c r="C453" s="65"/>
      <c r="D453" s="65"/>
      <c r="E453" s="66"/>
      <c r="F453" s="65"/>
      <c r="G453" s="67"/>
      <c r="H453" s="65"/>
      <c r="I453" s="65"/>
      <c r="J453" s="68"/>
      <c r="K453" s="68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</row>
    <row r="454" spans="1:36" ht="15.75" customHeight="1">
      <c r="A454" s="53"/>
      <c r="B454" s="65"/>
      <c r="C454" s="65"/>
      <c r="D454" s="65"/>
      <c r="E454" s="66"/>
      <c r="F454" s="65"/>
      <c r="G454" s="67"/>
      <c r="H454" s="65"/>
      <c r="I454" s="65"/>
      <c r="J454" s="68"/>
      <c r="K454" s="68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</row>
    <row r="455" spans="1:36" ht="15.75" customHeight="1">
      <c r="A455" s="53"/>
      <c r="B455" s="65"/>
      <c r="C455" s="65"/>
      <c r="D455" s="65"/>
      <c r="E455" s="66"/>
      <c r="F455" s="65"/>
      <c r="G455" s="67"/>
      <c r="H455" s="65"/>
      <c r="I455" s="65"/>
      <c r="J455" s="68"/>
      <c r="K455" s="68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</row>
    <row r="456" spans="1:36" ht="15.75" customHeight="1">
      <c r="A456" s="53"/>
      <c r="B456" s="65"/>
      <c r="C456" s="65"/>
      <c r="D456" s="65"/>
      <c r="E456" s="66"/>
      <c r="F456" s="65"/>
      <c r="G456" s="67"/>
      <c r="H456" s="65"/>
      <c r="I456" s="65"/>
      <c r="J456" s="68"/>
      <c r="K456" s="68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</row>
    <row r="457" spans="1:36" ht="15.75" customHeight="1">
      <c r="A457" s="53"/>
      <c r="B457" s="65"/>
      <c r="C457" s="65"/>
      <c r="D457" s="65"/>
      <c r="E457" s="66"/>
      <c r="F457" s="65"/>
      <c r="G457" s="67"/>
      <c r="H457" s="65"/>
      <c r="I457" s="65"/>
      <c r="J457" s="68"/>
      <c r="K457" s="68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</row>
    <row r="458" spans="1:36" ht="15.75" customHeight="1">
      <c r="A458" s="53"/>
      <c r="B458" s="65"/>
      <c r="C458" s="65"/>
      <c r="D458" s="65"/>
      <c r="E458" s="66"/>
      <c r="F458" s="65"/>
      <c r="G458" s="67"/>
      <c r="H458" s="65"/>
      <c r="I458" s="65"/>
      <c r="J458" s="68"/>
      <c r="K458" s="68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</row>
    <row r="459" spans="1:36" ht="15.75" customHeight="1">
      <c r="A459" s="53"/>
      <c r="B459" s="65"/>
      <c r="C459" s="65"/>
      <c r="D459" s="65"/>
      <c r="E459" s="66"/>
      <c r="F459" s="65"/>
      <c r="G459" s="67"/>
      <c r="H459" s="65"/>
      <c r="I459" s="65"/>
      <c r="J459" s="68"/>
      <c r="K459" s="68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</row>
    <row r="460" spans="1:36" ht="15.75" customHeight="1">
      <c r="A460" s="53"/>
      <c r="B460" s="65"/>
      <c r="C460" s="65"/>
      <c r="D460" s="65"/>
      <c r="E460" s="66"/>
      <c r="F460" s="65"/>
      <c r="G460" s="67"/>
      <c r="H460" s="65"/>
      <c r="I460" s="65"/>
      <c r="J460" s="68"/>
      <c r="K460" s="68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</row>
    <row r="461" spans="1:36" ht="15.75" customHeight="1">
      <c r="A461" s="53"/>
      <c r="B461" s="65"/>
      <c r="C461" s="65"/>
      <c r="D461" s="65"/>
      <c r="E461" s="66"/>
      <c r="F461" s="65"/>
      <c r="G461" s="67"/>
      <c r="H461" s="65"/>
      <c r="I461" s="65"/>
      <c r="J461" s="68"/>
      <c r="K461" s="68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</row>
    <row r="462" spans="1:36" ht="15.75" customHeight="1">
      <c r="A462" s="53"/>
      <c r="B462" s="65"/>
      <c r="C462" s="65"/>
      <c r="D462" s="65"/>
      <c r="E462" s="66"/>
      <c r="F462" s="65"/>
      <c r="G462" s="67"/>
      <c r="H462" s="65"/>
      <c r="I462" s="65"/>
      <c r="J462" s="68"/>
      <c r="K462" s="68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</row>
    <row r="463" spans="1:36" ht="15.75" customHeight="1">
      <c r="A463" s="53"/>
      <c r="B463" s="65"/>
      <c r="C463" s="65"/>
      <c r="D463" s="65"/>
      <c r="E463" s="66"/>
      <c r="F463" s="65"/>
      <c r="G463" s="67"/>
      <c r="H463" s="65"/>
      <c r="I463" s="65"/>
      <c r="J463" s="68"/>
      <c r="K463" s="68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</row>
    <row r="464" spans="1:36" ht="15.75" customHeight="1">
      <c r="A464" s="53"/>
      <c r="B464" s="65"/>
      <c r="C464" s="65"/>
      <c r="D464" s="65"/>
      <c r="E464" s="66"/>
      <c r="F464" s="65"/>
      <c r="G464" s="67"/>
      <c r="H464" s="65"/>
      <c r="I464" s="65"/>
      <c r="J464" s="68"/>
      <c r="K464" s="68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</row>
    <row r="465" spans="1:36" ht="15.75" customHeight="1">
      <c r="A465" s="53"/>
      <c r="B465" s="65"/>
      <c r="C465" s="65"/>
      <c r="D465" s="65"/>
      <c r="E465" s="66"/>
      <c r="F465" s="65"/>
      <c r="G465" s="67"/>
      <c r="H465" s="65"/>
      <c r="I465" s="65"/>
      <c r="J465" s="68"/>
      <c r="K465" s="68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</row>
    <row r="466" spans="1:36" ht="15.75" customHeight="1">
      <c r="A466" s="53"/>
      <c r="B466" s="65"/>
      <c r="C466" s="65"/>
      <c r="D466" s="65"/>
      <c r="E466" s="66"/>
      <c r="F466" s="65"/>
      <c r="G466" s="67"/>
      <c r="H466" s="65"/>
      <c r="I466" s="65"/>
      <c r="J466" s="68"/>
      <c r="K466" s="68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</row>
    <row r="467" spans="1:36" ht="15.75" customHeight="1">
      <c r="A467" s="53"/>
      <c r="B467" s="65"/>
      <c r="C467" s="65"/>
      <c r="D467" s="65"/>
      <c r="E467" s="66"/>
      <c r="F467" s="65"/>
      <c r="G467" s="67"/>
      <c r="H467" s="65"/>
      <c r="I467" s="65"/>
      <c r="J467" s="68"/>
      <c r="K467" s="68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</row>
    <row r="468" spans="1:36" ht="15.75" customHeight="1">
      <c r="A468" s="53"/>
      <c r="B468" s="65"/>
      <c r="C468" s="65"/>
      <c r="D468" s="65"/>
      <c r="E468" s="66"/>
      <c r="F468" s="65"/>
      <c r="G468" s="67"/>
      <c r="H468" s="65"/>
      <c r="I468" s="65"/>
      <c r="J468" s="68"/>
      <c r="K468" s="68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</row>
    <row r="469" spans="1:36" ht="15.75" customHeight="1">
      <c r="A469" s="53"/>
      <c r="B469" s="65"/>
      <c r="C469" s="65"/>
      <c r="D469" s="65"/>
      <c r="E469" s="66"/>
      <c r="F469" s="65"/>
      <c r="G469" s="67"/>
      <c r="H469" s="65"/>
      <c r="I469" s="65"/>
      <c r="J469" s="68"/>
      <c r="K469" s="68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</row>
    <row r="470" spans="1:36" ht="15.75" customHeight="1">
      <c r="A470" s="53"/>
      <c r="B470" s="65"/>
      <c r="C470" s="65"/>
      <c r="D470" s="65"/>
      <c r="E470" s="66"/>
      <c r="F470" s="65"/>
      <c r="G470" s="67"/>
      <c r="H470" s="65"/>
      <c r="I470" s="65"/>
      <c r="J470" s="68"/>
      <c r="K470" s="68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</row>
    <row r="471" spans="1:36" ht="15.75" customHeight="1">
      <c r="A471" s="53"/>
      <c r="B471" s="65"/>
      <c r="C471" s="65"/>
      <c r="D471" s="65"/>
      <c r="E471" s="66"/>
      <c r="F471" s="65"/>
      <c r="G471" s="67"/>
      <c r="H471" s="65"/>
      <c r="I471" s="65"/>
      <c r="J471" s="68"/>
      <c r="K471" s="68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</row>
    <row r="472" spans="1:36" ht="15.75" customHeight="1">
      <c r="A472" s="53"/>
      <c r="B472" s="65"/>
      <c r="C472" s="65"/>
      <c r="D472" s="65"/>
      <c r="E472" s="66"/>
      <c r="F472" s="65"/>
      <c r="G472" s="67"/>
      <c r="H472" s="65"/>
      <c r="I472" s="65"/>
      <c r="J472" s="68"/>
      <c r="K472" s="68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</row>
    <row r="473" spans="1:36" ht="15.75" customHeight="1">
      <c r="A473" s="53"/>
      <c r="B473" s="65"/>
      <c r="C473" s="65"/>
      <c r="D473" s="65"/>
      <c r="E473" s="66"/>
      <c r="F473" s="65"/>
      <c r="G473" s="67"/>
      <c r="H473" s="65"/>
      <c r="I473" s="65"/>
      <c r="J473" s="68"/>
      <c r="K473" s="68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</row>
    <row r="474" spans="1:36" ht="15.75" customHeight="1">
      <c r="A474" s="53"/>
      <c r="B474" s="65"/>
      <c r="C474" s="65"/>
      <c r="D474" s="65"/>
      <c r="E474" s="66"/>
      <c r="F474" s="65"/>
      <c r="G474" s="67"/>
      <c r="H474" s="65"/>
      <c r="I474" s="65"/>
      <c r="J474" s="68"/>
      <c r="K474" s="68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</row>
    <row r="475" spans="1:36" ht="15.75" customHeight="1">
      <c r="A475" s="53"/>
      <c r="B475" s="65"/>
      <c r="C475" s="65"/>
      <c r="D475" s="65"/>
      <c r="E475" s="66"/>
      <c r="F475" s="65"/>
      <c r="G475" s="67"/>
      <c r="H475" s="65"/>
      <c r="I475" s="65"/>
      <c r="J475" s="68"/>
      <c r="K475" s="68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</row>
    <row r="476" spans="1:36" ht="15.75" customHeight="1">
      <c r="A476" s="53"/>
      <c r="B476" s="65"/>
      <c r="C476" s="65"/>
      <c r="D476" s="65"/>
      <c r="E476" s="66"/>
      <c r="F476" s="65"/>
      <c r="G476" s="67"/>
      <c r="H476" s="65"/>
      <c r="I476" s="65"/>
      <c r="J476" s="68"/>
      <c r="K476" s="68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</row>
    <row r="477" spans="1:36" ht="15.75" customHeight="1">
      <c r="A477" s="53"/>
      <c r="B477" s="65"/>
      <c r="C477" s="65"/>
      <c r="D477" s="65"/>
      <c r="E477" s="66"/>
      <c r="F477" s="65"/>
      <c r="G477" s="67"/>
      <c r="H477" s="65"/>
      <c r="I477" s="65"/>
      <c r="J477" s="68"/>
      <c r="K477" s="68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</row>
    <row r="478" spans="1:36" ht="15.75" customHeight="1">
      <c r="A478" s="53"/>
      <c r="B478" s="65"/>
      <c r="C478" s="65"/>
      <c r="D478" s="65"/>
      <c r="E478" s="66"/>
      <c r="F478" s="65"/>
      <c r="G478" s="67"/>
      <c r="H478" s="65"/>
      <c r="I478" s="65"/>
      <c r="J478" s="68"/>
      <c r="K478" s="68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</row>
    <row r="479" spans="1:36" ht="15.75" customHeight="1">
      <c r="A479" s="53"/>
      <c r="B479" s="65"/>
      <c r="C479" s="65"/>
      <c r="D479" s="65"/>
      <c r="E479" s="66"/>
      <c r="F479" s="65"/>
      <c r="G479" s="67"/>
      <c r="H479" s="65"/>
      <c r="I479" s="65"/>
      <c r="J479" s="68"/>
      <c r="K479" s="68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</row>
    <row r="480" spans="1:36" ht="15.75" customHeight="1">
      <c r="A480" s="53"/>
      <c r="B480" s="65"/>
      <c r="C480" s="65"/>
      <c r="D480" s="65"/>
      <c r="E480" s="66"/>
      <c r="F480" s="65"/>
      <c r="G480" s="67"/>
      <c r="H480" s="65"/>
      <c r="I480" s="65"/>
      <c r="J480" s="68"/>
      <c r="K480" s="68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</row>
    <row r="481" spans="1:36" ht="15.75" customHeight="1">
      <c r="A481" s="53"/>
      <c r="B481" s="65"/>
      <c r="C481" s="65"/>
      <c r="D481" s="65"/>
      <c r="E481" s="66"/>
      <c r="F481" s="65"/>
      <c r="G481" s="67"/>
      <c r="H481" s="65"/>
      <c r="I481" s="65"/>
      <c r="J481" s="68"/>
      <c r="K481" s="68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</row>
    <row r="482" spans="1:36" ht="15.75" customHeight="1">
      <c r="A482" s="53"/>
      <c r="B482" s="65"/>
      <c r="C482" s="65"/>
      <c r="D482" s="65"/>
      <c r="E482" s="66"/>
      <c r="F482" s="65"/>
      <c r="G482" s="67"/>
      <c r="H482" s="65"/>
      <c r="I482" s="65"/>
      <c r="J482" s="68"/>
      <c r="K482" s="68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</row>
    <row r="483" spans="1:36" ht="15.75" customHeight="1">
      <c r="A483" s="53"/>
      <c r="B483" s="65"/>
      <c r="C483" s="65"/>
      <c r="D483" s="65"/>
      <c r="E483" s="66"/>
      <c r="F483" s="65"/>
      <c r="G483" s="67"/>
      <c r="H483" s="65"/>
      <c r="I483" s="65"/>
      <c r="J483" s="68"/>
      <c r="K483" s="68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</row>
    <row r="484" spans="1:36" ht="15.75" customHeight="1">
      <c r="A484" s="53"/>
      <c r="B484" s="65"/>
      <c r="C484" s="65"/>
      <c r="D484" s="65"/>
      <c r="E484" s="66"/>
      <c r="F484" s="65"/>
      <c r="G484" s="67"/>
      <c r="H484" s="65"/>
      <c r="I484" s="65"/>
      <c r="J484" s="68"/>
      <c r="K484" s="68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</row>
    <row r="485" spans="1:36" ht="15.75" customHeight="1">
      <c r="A485" s="53"/>
      <c r="B485" s="65"/>
      <c r="C485" s="65"/>
      <c r="D485" s="65"/>
      <c r="E485" s="66"/>
      <c r="F485" s="65"/>
      <c r="G485" s="67"/>
      <c r="H485" s="65"/>
      <c r="I485" s="65"/>
      <c r="J485" s="68"/>
      <c r="K485" s="68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</row>
    <row r="486" spans="1:36" ht="15.75" customHeight="1">
      <c r="A486" s="53"/>
      <c r="B486" s="65"/>
      <c r="C486" s="65"/>
      <c r="D486" s="65"/>
      <c r="E486" s="66"/>
      <c r="F486" s="65"/>
      <c r="G486" s="67"/>
      <c r="H486" s="65"/>
      <c r="I486" s="65"/>
      <c r="J486" s="68"/>
      <c r="K486" s="68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</row>
    <row r="487" spans="1:36" ht="15.75" customHeight="1">
      <c r="A487" s="53"/>
      <c r="B487" s="65"/>
      <c r="C487" s="65"/>
      <c r="D487" s="65"/>
      <c r="E487" s="66"/>
      <c r="F487" s="65"/>
      <c r="G487" s="67"/>
      <c r="H487" s="65"/>
      <c r="I487" s="65"/>
      <c r="J487" s="68"/>
      <c r="K487" s="68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</row>
    <row r="488" spans="1:36" ht="15.75" customHeight="1">
      <c r="A488" s="53"/>
      <c r="B488" s="65"/>
      <c r="C488" s="65"/>
      <c r="D488" s="65"/>
      <c r="E488" s="66"/>
      <c r="F488" s="65"/>
      <c r="G488" s="67"/>
      <c r="H488" s="65"/>
      <c r="I488" s="65"/>
      <c r="J488" s="68"/>
      <c r="K488" s="68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</row>
    <row r="489" spans="1:36" ht="15.75" customHeight="1">
      <c r="A489" s="53"/>
      <c r="B489" s="65"/>
      <c r="C489" s="65"/>
      <c r="D489" s="65"/>
      <c r="E489" s="66"/>
      <c r="F489" s="65"/>
      <c r="G489" s="67"/>
      <c r="H489" s="65"/>
      <c r="I489" s="65"/>
      <c r="J489" s="68"/>
      <c r="K489" s="68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</row>
    <row r="490" spans="1:36" ht="15.75" customHeight="1">
      <c r="A490" s="53"/>
      <c r="B490" s="65"/>
      <c r="C490" s="65"/>
      <c r="D490" s="65"/>
      <c r="E490" s="66"/>
      <c r="F490" s="65"/>
      <c r="G490" s="67"/>
      <c r="H490" s="65"/>
      <c r="I490" s="65"/>
      <c r="J490" s="68"/>
      <c r="K490" s="68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</row>
    <row r="491" spans="1:36" ht="15.75" customHeight="1">
      <c r="A491" s="53"/>
      <c r="B491" s="65"/>
      <c r="C491" s="65"/>
      <c r="D491" s="65"/>
      <c r="E491" s="66"/>
      <c r="F491" s="65"/>
      <c r="G491" s="67"/>
      <c r="H491" s="65"/>
      <c r="I491" s="65"/>
      <c r="J491" s="68"/>
      <c r="K491" s="68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</row>
    <row r="492" spans="1:36" ht="15.75" customHeight="1">
      <c r="A492" s="53"/>
      <c r="B492" s="65"/>
      <c r="C492" s="65"/>
      <c r="D492" s="65"/>
      <c r="E492" s="66"/>
      <c r="F492" s="65"/>
      <c r="G492" s="67"/>
      <c r="H492" s="65"/>
      <c r="I492" s="65"/>
      <c r="J492" s="68"/>
      <c r="K492" s="68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</row>
    <row r="493" spans="1:36" ht="15.75" customHeight="1">
      <c r="A493" s="53"/>
      <c r="B493" s="65"/>
      <c r="C493" s="65"/>
      <c r="D493" s="65"/>
      <c r="E493" s="66"/>
      <c r="F493" s="65"/>
      <c r="G493" s="67"/>
      <c r="H493" s="65"/>
      <c r="I493" s="65"/>
      <c r="J493" s="68"/>
      <c r="K493" s="68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</row>
    <row r="494" spans="1:36" ht="15.75" customHeight="1">
      <c r="A494" s="53"/>
      <c r="B494" s="65"/>
      <c r="C494" s="65"/>
      <c r="D494" s="65"/>
      <c r="E494" s="66"/>
      <c r="F494" s="65"/>
      <c r="G494" s="67"/>
      <c r="H494" s="65"/>
      <c r="I494" s="65"/>
      <c r="J494" s="68"/>
      <c r="K494" s="68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</row>
    <row r="495" spans="1:36" ht="15.75" customHeight="1">
      <c r="A495" s="53"/>
      <c r="B495" s="65"/>
      <c r="C495" s="65"/>
      <c r="D495" s="65"/>
      <c r="E495" s="66"/>
      <c r="F495" s="65"/>
      <c r="G495" s="67"/>
      <c r="H495" s="65"/>
      <c r="I495" s="65"/>
      <c r="J495" s="68"/>
      <c r="K495" s="68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</row>
    <row r="496" spans="1:36" ht="15.75" customHeight="1">
      <c r="A496" s="53"/>
      <c r="B496" s="65"/>
      <c r="C496" s="65"/>
      <c r="D496" s="65"/>
      <c r="E496" s="66"/>
      <c r="F496" s="65"/>
      <c r="G496" s="67"/>
      <c r="H496" s="65"/>
      <c r="I496" s="65"/>
      <c r="J496" s="68"/>
      <c r="K496" s="68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</row>
    <row r="497" spans="1:36" ht="15.75" customHeight="1">
      <c r="A497" s="53"/>
      <c r="B497" s="65"/>
      <c r="C497" s="65"/>
      <c r="D497" s="65"/>
      <c r="E497" s="66"/>
      <c r="F497" s="65"/>
      <c r="G497" s="67"/>
      <c r="H497" s="65"/>
      <c r="I497" s="65"/>
      <c r="J497" s="68"/>
      <c r="K497" s="68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</row>
    <row r="498" spans="1:36" ht="15.75" customHeight="1">
      <c r="A498" s="53"/>
      <c r="B498" s="65"/>
      <c r="C498" s="65"/>
      <c r="D498" s="65"/>
      <c r="E498" s="66"/>
      <c r="F498" s="65"/>
      <c r="G498" s="67"/>
      <c r="H498" s="65"/>
      <c r="I498" s="65"/>
      <c r="J498" s="68"/>
      <c r="K498" s="68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</row>
    <row r="499" spans="1:36" ht="15.75" customHeight="1">
      <c r="A499" s="53"/>
      <c r="B499" s="65"/>
      <c r="C499" s="65"/>
      <c r="D499" s="65"/>
      <c r="E499" s="66"/>
      <c r="F499" s="65"/>
      <c r="G499" s="67"/>
      <c r="H499" s="65"/>
      <c r="I499" s="65"/>
      <c r="J499" s="68"/>
      <c r="K499" s="68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</row>
    <row r="500" spans="1:36" ht="15.75" customHeight="1">
      <c r="A500" s="53"/>
      <c r="B500" s="65"/>
      <c r="C500" s="65"/>
      <c r="D500" s="65"/>
      <c r="E500" s="66"/>
      <c r="F500" s="65"/>
      <c r="G500" s="67"/>
      <c r="H500" s="65"/>
      <c r="I500" s="65"/>
      <c r="J500" s="68"/>
      <c r="K500" s="68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</row>
    <row r="501" spans="1:36" ht="15.75" customHeight="1">
      <c r="A501" s="53"/>
      <c r="B501" s="65"/>
      <c r="C501" s="65"/>
      <c r="D501" s="65"/>
      <c r="E501" s="66"/>
      <c r="F501" s="65"/>
      <c r="G501" s="67"/>
      <c r="H501" s="65"/>
      <c r="I501" s="65"/>
      <c r="J501" s="68"/>
      <c r="K501" s="68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</row>
    <row r="502" spans="1:36" ht="15.75" customHeight="1">
      <c r="A502" s="53"/>
      <c r="B502" s="65"/>
      <c r="C502" s="65"/>
      <c r="D502" s="65"/>
      <c r="E502" s="66"/>
      <c r="F502" s="65"/>
      <c r="G502" s="67"/>
      <c r="H502" s="65"/>
      <c r="I502" s="65"/>
      <c r="J502" s="68"/>
      <c r="K502" s="68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</row>
    <row r="503" spans="1:36" ht="15.75" customHeight="1">
      <c r="A503" s="53"/>
      <c r="B503" s="65"/>
      <c r="C503" s="65"/>
      <c r="D503" s="65"/>
      <c r="E503" s="66"/>
      <c r="F503" s="65"/>
      <c r="G503" s="67"/>
      <c r="H503" s="65"/>
      <c r="I503" s="65"/>
      <c r="J503" s="68"/>
      <c r="K503" s="68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</row>
    <row r="504" spans="1:36" ht="15.75" customHeight="1">
      <c r="A504" s="53"/>
      <c r="B504" s="65"/>
      <c r="C504" s="65"/>
      <c r="D504" s="65"/>
      <c r="E504" s="66"/>
      <c r="F504" s="65"/>
      <c r="G504" s="67"/>
      <c r="H504" s="65"/>
      <c r="I504" s="65"/>
      <c r="J504" s="68"/>
      <c r="K504" s="68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</row>
    <row r="505" spans="1:36" ht="15.75" customHeight="1">
      <c r="A505" s="53"/>
      <c r="B505" s="65"/>
      <c r="C505" s="65"/>
      <c r="D505" s="65"/>
      <c r="E505" s="66"/>
      <c r="F505" s="65"/>
      <c r="G505" s="67"/>
      <c r="H505" s="65"/>
      <c r="I505" s="65"/>
      <c r="J505" s="68"/>
      <c r="K505" s="68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</row>
    <row r="506" spans="1:36" ht="15.75" customHeight="1">
      <c r="A506" s="53"/>
      <c r="B506" s="65"/>
      <c r="C506" s="65"/>
      <c r="D506" s="65"/>
      <c r="E506" s="66"/>
      <c r="F506" s="65"/>
      <c r="G506" s="67"/>
      <c r="H506" s="65"/>
      <c r="I506" s="65"/>
      <c r="J506" s="68"/>
      <c r="K506" s="68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</row>
    <row r="507" spans="1:36" ht="15.75" customHeight="1">
      <c r="A507" s="53"/>
      <c r="B507" s="65"/>
      <c r="C507" s="65"/>
      <c r="D507" s="65"/>
      <c r="E507" s="66"/>
      <c r="F507" s="65"/>
      <c r="G507" s="67"/>
      <c r="H507" s="65"/>
      <c r="I507" s="65"/>
      <c r="J507" s="68"/>
      <c r="K507" s="68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</row>
    <row r="508" spans="1:36" ht="15.75" customHeight="1">
      <c r="A508" s="53"/>
      <c r="B508" s="65"/>
      <c r="C508" s="65"/>
      <c r="D508" s="65"/>
      <c r="E508" s="66"/>
      <c r="F508" s="65"/>
      <c r="G508" s="67"/>
      <c r="H508" s="65"/>
      <c r="I508" s="65"/>
      <c r="J508" s="68"/>
      <c r="K508" s="68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</row>
    <row r="509" spans="1:36" ht="15.75" customHeight="1">
      <c r="A509" s="53"/>
      <c r="B509" s="65"/>
      <c r="C509" s="65"/>
      <c r="D509" s="65"/>
      <c r="E509" s="66"/>
      <c r="F509" s="65"/>
      <c r="G509" s="67"/>
      <c r="H509" s="65"/>
      <c r="I509" s="65"/>
      <c r="J509" s="68"/>
      <c r="K509" s="68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</row>
    <row r="510" spans="1:36" ht="15.75" customHeight="1">
      <c r="A510" s="53"/>
      <c r="B510" s="65"/>
      <c r="C510" s="65"/>
      <c r="D510" s="65"/>
      <c r="E510" s="66"/>
      <c r="F510" s="65"/>
      <c r="G510" s="67"/>
      <c r="H510" s="65"/>
      <c r="I510" s="65"/>
      <c r="J510" s="68"/>
      <c r="K510" s="68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</row>
    <row r="511" spans="1:36" ht="15.75" customHeight="1">
      <c r="A511" s="53"/>
      <c r="B511" s="65"/>
      <c r="C511" s="65"/>
      <c r="D511" s="65"/>
      <c r="E511" s="66"/>
      <c r="F511" s="65"/>
      <c r="G511" s="67"/>
      <c r="H511" s="65"/>
      <c r="I511" s="65"/>
      <c r="J511" s="68"/>
      <c r="K511" s="68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</row>
    <row r="512" spans="1:36" ht="15.75" customHeight="1">
      <c r="A512" s="53"/>
      <c r="B512" s="65"/>
      <c r="C512" s="65"/>
      <c r="D512" s="65"/>
      <c r="E512" s="66"/>
      <c r="F512" s="65"/>
      <c r="G512" s="67"/>
      <c r="H512" s="65"/>
      <c r="I512" s="65"/>
      <c r="J512" s="68"/>
      <c r="K512" s="68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</row>
    <row r="513" spans="1:36" ht="15.75" customHeight="1">
      <c r="A513" s="53"/>
      <c r="B513" s="65"/>
      <c r="C513" s="65"/>
      <c r="D513" s="65"/>
      <c r="E513" s="66"/>
      <c r="F513" s="65"/>
      <c r="G513" s="67"/>
      <c r="H513" s="65"/>
      <c r="I513" s="65"/>
      <c r="J513" s="68"/>
      <c r="K513" s="68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</row>
    <row r="514" spans="1:36" ht="15.75" customHeight="1">
      <c r="A514" s="53"/>
      <c r="B514" s="65"/>
      <c r="C514" s="65"/>
      <c r="D514" s="65"/>
      <c r="E514" s="66"/>
      <c r="F514" s="65"/>
      <c r="G514" s="67"/>
      <c r="H514" s="65"/>
      <c r="I514" s="65"/>
      <c r="J514" s="68"/>
      <c r="K514" s="68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</row>
    <row r="515" spans="1:36" ht="15.75" customHeight="1">
      <c r="A515" s="53"/>
      <c r="B515" s="65"/>
      <c r="C515" s="65"/>
      <c r="D515" s="65"/>
      <c r="E515" s="66"/>
      <c r="F515" s="65"/>
      <c r="G515" s="67"/>
      <c r="H515" s="65"/>
      <c r="I515" s="65"/>
      <c r="J515" s="68"/>
      <c r="K515" s="68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</row>
    <row r="516" spans="1:36" ht="15.75" customHeight="1">
      <c r="A516" s="53"/>
      <c r="B516" s="65"/>
      <c r="C516" s="65"/>
      <c r="D516" s="65"/>
      <c r="E516" s="66"/>
      <c r="F516" s="65"/>
      <c r="G516" s="67"/>
      <c r="H516" s="65"/>
      <c r="I516" s="65"/>
      <c r="J516" s="68"/>
      <c r="K516" s="68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</row>
    <row r="517" spans="1:36" ht="15.75" customHeight="1">
      <c r="A517" s="53"/>
      <c r="B517" s="65"/>
      <c r="C517" s="65"/>
      <c r="D517" s="65"/>
      <c r="E517" s="66"/>
      <c r="F517" s="65"/>
      <c r="G517" s="67"/>
      <c r="H517" s="65"/>
      <c r="I517" s="65"/>
      <c r="J517" s="68"/>
      <c r="K517" s="68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</row>
    <row r="518" spans="1:36" ht="15.75" customHeight="1">
      <c r="A518" s="53"/>
      <c r="B518" s="65"/>
      <c r="C518" s="65"/>
      <c r="D518" s="65"/>
      <c r="E518" s="66"/>
      <c r="F518" s="65"/>
      <c r="G518" s="67"/>
      <c r="H518" s="65"/>
      <c r="I518" s="65"/>
      <c r="J518" s="68"/>
      <c r="K518" s="68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</row>
    <row r="519" spans="1:36" ht="15.75" customHeight="1">
      <c r="A519" s="53"/>
      <c r="B519" s="65"/>
      <c r="C519" s="65"/>
      <c r="D519" s="65"/>
      <c r="E519" s="66"/>
      <c r="F519" s="65"/>
      <c r="G519" s="67"/>
      <c r="H519" s="65"/>
      <c r="I519" s="65"/>
      <c r="J519" s="68"/>
      <c r="K519" s="68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</row>
    <row r="520" spans="1:36" ht="15.75" customHeight="1">
      <c r="A520" s="53"/>
      <c r="B520" s="65"/>
      <c r="C520" s="65"/>
      <c r="D520" s="65"/>
      <c r="E520" s="66"/>
      <c r="F520" s="65"/>
      <c r="G520" s="67"/>
      <c r="H520" s="65"/>
      <c r="I520" s="65"/>
      <c r="J520" s="68"/>
      <c r="K520" s="68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</row>
    <row r="521" spans="1:36" ht="15.75" customHeight="1">
      <c r="A521" s="53"/>
      <c r="B521" s="65"/>
      <c r="C521" s="65"/>
      <c r="D521" s="65"/>
      <c r="E521" s="66"/>
      <c r="F521" s="65"/>
      <c r="G521" s="67"/>
      <c r="H521" s="65"/>
      <c r="I521" s="65"/>
      <c r="J521" s="68"/>
      <c r="K521" s="68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</row>
    <row r="522" spans="1:36" ht="15.75" customHeight="1">
      <c r="A522" s="53"/>
      <c r="B522" s="65"/>
      <c r="C522" s="65"/>
      <c r="D522" s="65"/>
      <c r="E522" s="66"/>
      <c r="F522" s="65"/>
      <c r="G522" s="67"/>
      <c r="H522" s="65"/>
      <c r="I522" s="65"/>
      <c r="J522" s="68"/>
      <c r="K522" s="68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</row>
    <row r="523" spans="1:36" ht="15.75" customHeight="1">
      <c r="A523" s="53"/>
      <c r="B523" s="65"/>
      <c r="C523" s="65"/>
      <c r="D523" s="65"/>
      <c r="E523" s="66"/>
      <c r="F523" s="65"/>
      <c r="G523" s="67"/>
      <c r="H523" s="65"/>
      <c r="I523" s="65"/>
      <c r="J523" s="68"/>
      <c r="K523" s="68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</row>
    <row r="524" spans="1:36" ht="15.75" customHeight="1">
      <c r="A524" s="53"/>
      <c r="B524" s="65"/>
      <c r="C524" s="65"/>
      <c r="D524" s="65"/>
      <c r="E524" s="66"/>
      <c r="F524" s="65"/>
      <c r="G524" s="67"/>
      <c r="H524" s="65"/>
      <c r="I524" s="65"/>
      <c r="J524" s="68"/>
      <c r="K524" s="68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</row>
    <row r="525" spans="1:36" ht="15.75" customHeight="1">
      <c r="A525" s="53"/>
      <c r="B525" s="65"/>
      <c r="C525" s="65"/>
      <c r="D525" s="65"/>
      <c r="E525" s="66"/>
      <c r="F525" s="65"/>
      <c r="G525" s="67"/>
      <c r="H525" s="65"/>
      <c r="I525" s="65"/>
      <c r="J525" s="68"/>
      <c r="K525" s="68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</row>
    <row r="526" spans="1:36" ht="15.75" customHeight="1">
      <c r="A526" s="53"/>
      <c r="B526" s="65"/>
      <c r="C526" s="65"/>
      <c r="D526" s="65"/>
      <c r="E526" s="66"/>
      <c r="F526" s="65"/>
      <c r="G526" s="67"/>
      <c r="H526" s="65"/>
      <c r="I526" s="65"/>
      <c r="J526" s="68"/>
      <c r="K526" s="68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</row>
    <row r="527" spans="1:36" ht="15.75" customHeight="1">
      <c r="A527" s="53"/>
      <c r="B527" s="65"/>
      <c r="C527" s="65"/>
      <c r="D527" s="65"/>
      <c r="E527" s="66"/>
      <c r="F527" s="65"/>
      <c r="G527" s="67"/>
      <c r="H527" s="65"/>
      <c r="I527" s="65"/>
      <c r="J527" s="68"/>
      <c r="K527" s="68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</row>
    <row r="528" spans="1:36" ht="15.75" customHeight="1">
      <c r="A528" s="53"/>
      <c r="B528" s="65"/>
      <c r="C528" s="65"/>
      <c r="D528" s="65"/>
      <c r="E528" s="66"/>
      <c r="F528" s="65"/>
      <c r="G528" s="67"/>
      <c r="H528" s="65"/>
      <c r="I528" s="65"/>
      <c r="J528" s="68"/>
      <c r="K528" s="68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</row>
    <row r="529" spans="1:36" ht="15.75" customHeight="1">
      <c r="A529" s="53"/>
      <c r="B529" s="65"/>
      <c r="C529" s="65"/>
      <c r="D529" s="65"/>
      <c r="E529" s="66"/>
      <c r="F529" s="65"/>
      <c r="G529" s="67"/>
      <c r="H529" s="65"/>
      <c r="I529" s="65"/>
      <c r="J529" s="68"/>
      <c r="K529" s="68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</row>
    <row r="530" spans="1:36" ht="15.75" customHeight="1">
      <c r="A530" s="53"/>
      <c r="B530" s="65"/>
      <c r="C530" s="65"/>
      <c r="D530" s="65"/>
      <c r="E530" s="66"/>
      <c r="F530" s="65"/>
      <c r="G530" s="67"/>
      <c r="H530" s="65"/>
      <c r="I530" s="65"/>
      <c r="J530" s="68"/>
      <c r="K530" s="68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</row>
    <row r="531" spans="1:36" ht="15.75" customHeight="1">
      <c r="A531" s="53"/>
      <c r="B531" s="65"/>
      <c r="C531" s="65"/>
      <c r="D531" s="65"/>
      <c r="E531" s="66"/>
      <c r="F531" s="65"/>
      <c r="G531" s="67"/>
      <c r="H531" s="65"/>
      <c r="I531" s="65"/>
      <c r="J531" s="68"/>
      <c r="K531" s="68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</row>
    <row r="532" spans="1:36" ht="15.75" customHeight="1">
      <c r="A532" s="53"/>
      <c r="B532" s="65"/>
      <c r="C532" s="65"/>
      <c r="D532" s="65"/>
      <c r="E532" s="66"/>
      <c r="F532" s="65"/>
      <c r="G532" s="67"/>
      <c r="H532" s="65"/>
      <c r="I532" s="65"/>
      <c r="J532" s="68"/>
      <c r="K532" s="68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</row>
    <row r="533" spans="1:36" ht="15.75" customHeight="1">
      <c r="A533" s="53"/>
      <c r="B533" s="65"/>
      <c r="C533" s="65"/>
      <c r="D533" s="65"/>
      <c r="E533" s="66"/>
      <c r="F533" s="65"/>
      <c r="G533" s="67"/>
      <c r="H533" s="65"/>
      <c r="I533" s="65"/>
      <c r="J533" s="68"/>
      <c r="K533" s="68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</row>
    <row r="534" spans="1:36" ht="15.75" customHeight="1">
      <c r="A534" s="53"/>
      <c r="B534" s="65"/>
      <c r="C534" s="65"/>
      <c r="D534" s="65"/>
      <c r="E534" s="66"/>
      <c r="F534" s="65"/>
      <c r="G534" s="67"/>
      <c r="H534" s="65"/>
      <c r="I534" s="65"/>
      <c r="J534" s="68"/>
      <c r="K534" s="68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</row>
    <row r="535" spans="1:36" ht="15.75" customHeight="1">
      <c r="A535" s="53"/>
      <c r="B535" s="65"/>
      <c r="C535" s="65"/>
      <c r="D535" s="65"/>
      <c r="E535" s="66"/>
      <c r="F535" s="65"/>
      <c r="G535" s="67"/>
      <c r="H535" s="65"/>
      <c r="I535" s="65"/>
      <c r="J535" s="68"/>
      <c r="K535" s="68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</row>
    <row r="536" spans="1:36" ht="15.75" customHeight="1">
      <c r="A536" s="53"/>
      <c r="B536" s="65"/>
      <c r="C536" s="65"/>
      <c r="D536" s="65"/>
      <c r="E536" s="66"/>
      <c r="F536" s="65"/>
      <c r="G536" s="67"/>
      <c r="H536" s="65"/>
      <c r="I536" s="65"/>
      <c r="J536" s="68"/>
      <c r="K536" s="68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</row>
    <row r="537" spans="1:36" ht="15.75" customHeight="1">
      <c r="A537" s="53"/>
      <c r="B537" s="65"/>
      <c r="C537" s="65"/>
      <c r="D537" s="65"/>
      <c r="E537" s="66"/>
      <c r="F537" s="65"/>
      <c r="G537" s="67"/>
      <c r="H537" s="65"/>
      <c r="I537" s="65"/>
      <c r="J537" s="68"/>
      <c r="K537" s="68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</row>
    <row r="538" spans="1:36" ht="15.75" customHeight="1">
      <c r="A538" s="53"/>
      <c r="B538" s="65"/>
      <c r="C538" s="65"/>
      <c r="D538" s="65"/>
      <c r="E538" s="66"/>
      <c r="F538" s="65"/>
      <c r="G538" s="67"/>
      <c r="H538" s="65"/>
      <c r="I538" s="65"/>
      <c r="J538" s="68"/>
      <c r="K538" s="68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</row>
    <row r="539" spans="1:36" ht="15.75" customHeight="1">
      <c r="A539" s="53"/>
      <c r="B539" s="65"/>
      <c r="C539" s="65"/>
      <c r="D539" s="65"/>
      <c r="E539" s="66"/>
      <c r="F539" s="65"/>
      <c r="G539" s="67"/>
      <c r="H539" s="65"/>
      <c r="I539" s="65"/>
      <c r="J539" s="68"/>
      <c r="K539" s="68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</row>
    <row r="540" spans="1:36" ht="15.75" customHeight="1">
      <c r="A540" s="53"/>
      <c r="B540" s="65"/>
      <c r="C540" s="65"/>
      <c r="D540" s="65"/>
      <c r="E540" s="66"/>
      <c r="F540" s="65"/>
      <c r="G540" s="67"/>
      <c r="H540" s="65"/>
      <c r="I540" s="65"/>
      <c r="J540" s="68"/>
      <c r="K540" s="68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</row>
    <row r="541" spans="1:36" ht="15.75" customHeight="1">
      <c r="A541" s="53"/>
      <c r="B541" s="65"/>
      <c r="C541" s="65"/>
      <c r="D541" s="65"/>
      <c r="E541" s="66"/>
      <c r="F541" s="65"/>
      <c r="G541" s="67"/>
      <c r="H541" s="65"/>
      <c r="I541" s="65"/>
      <c r="J541" s="68"/>
      <c r="K541" s="68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</row>
    <row r="542" spans="1:36" ht="15.75" customHeight="1">
      <c r="A542" s="53"/>
      <c r="B542" s="65"/>
      <c r="C542" s="65"/>
      <c r="D542" s="65"/>
      <c r="E542" s="66"/>
      <c r="F542" s="65"/>
      <c r="G542" s="67"/>
      <c r="H542" s="65"/>
      <c r="I542" s="65"/>
      <c r="J542" s="68"/>
      <c r="K542" s="68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</row>
    <row r="543" spans="1:36" ht="15.75" customHeight="1">
      <c r="A543" s="53"/>
      <c r="B543" s="65"/>
      <c r="C543" s="65"/>
      <c r="D543" s="65"/>
      <c r="E543" s="66"/>
      <c r="F543" s="65"/>
      <c r="G543" s="67"/>
      <c r="H543" s="65"/>
      <c r="I543" s="65"/>
      <c r="J543" s="68"/>
      <c r="K543" s="68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</row>
    <row r="544" spans="1:36" ht="15.75" customHeight="1">
      <c r="A544" s="53"/>
      <c r="B544" s="65"/>
      <c r="C544" s="65"/>
      <c r="D544" s="65"/>
      <c r="E544" s="66"/>
      <c r="F544" s="65"/>
      <c r="G544" s="67"/>
      <c r="H544" s="65"/>
      <c r="I544" s="65"/>
      <c r="J544" s="68"/>
      <c r="K544" s="68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</row>
    <row r="545" spans="1:36" ht="15.75" customHeight="1">
      <c r="A545" s="53"/>
      <c r="B545" s="65"/>
      <c r="C545" s="65"/>
      <c r="D545" s="65"/>
      <c r="E545" s="66"/>
      <c r="F545" s="65"/>
      <c r="G545" s="67"/>
      <c r="H545" s="65"/>
      <c r="I545" s="65"/>
      <c r="J545" s="68"/>
      <c r="K545" s="68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</row>
    <row r="546" spans="1:36" ht="15.75" customHeight="1">
      <c r="A546" s="53"/>
      <c r="B546" s="65"/>
      <c r="C546" s="65"/>
      <c r="D546" s="65"/>
      <c r="E546" s="66"/>
      <c r="F546" s="65"/>
      <c r="G546" s="67"/>
      <c r="H546" s="65"/>
      <c r="I546" s="65"/>
      <c r="J546" s="68"/>
      <c r="K546" s="68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</row>
    <row r="547" spans="1:36" ht="15.75" customHeight="1">
      <c r="A547" s="53"/>
      <c r="B547" s="65"/>
      <c r="C547" s="65"/>
      <c r="D547" s="65"/>
      <c r="E547" s="66"/>
      <c r="F547" s="65"/>
      <c r="G547" s="67"/>
      <c r="H547" s="65"/>
      <c r="I547" s="65"/>
      <c r="J547" s="68"/>
      <c r="K547" s="68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</row>
    <row r="548" spans="1:36" ht="15.75" customHeight="1">
      <c r="A548" s="53"/>
      <c r="B548" s="65"/>
      <c r="C548" s="65"/>
      <c r="D548" s="65"/>
      <c r="E548" s="66"/>
      <c r="F548" s="65"/>
      <c r="G548" s="67"/>
      <c r="H548" s="65"/>
      <c r="I548" s="65"/>
      <c r="J548" s="68"/>
      <c r="K548" s="68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</row>
    <row r="549" spans="1:36" ht="15.75" customHeight="1">
      <c r="A549" s="53"/>
      <c r="B549" s="65"/>
      <c r="C549" s="65"/>
      <c r="D549" s="65"/>
      <c r="E549" s="66"/>
      <c r="F549" s="65"/>
      <c r="G549" s="67"/>
      <c r="H549" s="65"/>
      <c r="I549" s="65"/>
      <c r="J549" s="68"/>
      <c r="K549" s="68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</row>
    <row r="550" spans="1:36" ht="15.75" customHeight="1">
      <c r="A550" s="53"/>
      <c r="B550" s="65"/>
      <c r="C550" s="65"/>
      <c r="D550" s="65"/>
      <c r="E550" s="66"/>
      <c r="F550" s="65"/>
      <c r="G550" s="67"/>
      <c r="H550" s="65"/>
      <c r="I550" s="65"/>
      <c r="J550" s="68"/>
      <c r="K550" s="68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</row>
    <row r="551" spans="1:36" ht="15.75" customHeight="1">
      <c r="A551" s="53"/>
      <c r="B551" s="65"/>
      <c r="C551" s="65"/>
      <c r="D551" s="65"/>
      <c r="E551" s="66"/>
      <c r="F551" s="65"/>
      <c r="G551" s="67"/>
      <c r="H551" s="65"/>
      <c r="I551" s="65"/>
      <c r="J551" s="68"/>
      <c r="K551" s="68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</row>
    <row r="552" spans="1:36" ht="15.75" customHeight="1">
      <c r="A552" s="53"/>
      <c r="B552" s="65"/>
      <c r="C552" s="65"/>
      <c r="D552" s="65"/>
      <c r="E552" s="66"/>
      <c r="F552" s="65"/>
      <c r="G552" s="67"/>
      <c r="H552" s="65"/>
      <c r="I552" s="65"/>
      <c r="J552" s="68"/>
      <c r="K552" s="68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</row>
    <row r="553" spans="1:36" ht="15.75" customHeight="1">
      <c r="A553" s="53"/>
      <c r="B553" s="65"/>
      <c r="C553" s="65"/>
      <c r="D553" s="65"/>
      <c r="E553" s="66"/>
      <c r="F553" s="65"/>
      <c r="G553" s="67"/>
      <c r="H553" s="65"/>
      <c r="I553" s="65"/>
      <c r="J553" s="68"/>
      <c r="K553" s="68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</row>
    <row r="554" spans="1:36" ht="15.75" customHeight="1">
      <c r="A554" s="53"/>
      <c r="B554" s="65"/>
      <c r="C554" s="65"/>
      <c r="D554" s="65"/>
      <c r="E554" s="66"/>
      <c r="F554" s="65"/>
      <c r="G554" s="67"/>
      <c r="H554" s="65"/>
      <c r="I554" s="65"/>
      <c r="J554" s="68"/>
      <c r="K554" s="68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</row>
    <row r="555" spans="1:36" ht="15.75" customHeight="1">
      <c r="A555" s="53"/>
      <c r="B555" s="65"/>
      <c r="C555" s="65"/>
      <c r="D555" s="65"/>
      <c r="E555" s="66"/>
      <c r="F555" s="65"/>
      <c r="G555" s="67"/>
      <c r="H555" s="65"/>
      <c r="I555" s="65"/>
      <c r="J555" s="68"/>
      <c r="K555" s="68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</row>
    <row r="556" spans="1:36" ht="15.75" customHeight="1">
      <c r="A556" s="53"/>
      <c r="B556" s="65"/>
      <c r="C556" s="65"/>
      <c r="D556" s="65"/>
      <c r="E556" s="66"/>
      <c r="F556" s="65"/>
      <c r="G556" s="67"/>
      <c r="H556" s="65"/>
      <c r="I556" s="65"/>
      <c r="J556" s="68"/>
      <c r="K556" s="68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</row>
    <row r="557" spans="1:36" ht="15.75" customHeight="1">
      <c r="A557" s="53"/>
      <c r="B557" s="65"/>
      <c r="C557" s="65"/>
      <c r="D557" s="65"/>
      <c r="E557" s="66"/>
      <c r="F557" s="65"/>
      <c r="G557" s="67"/>
      <c r="H557" s="65"/>
      <c r="I557" s="65"/>
      <c r="J557" s="68"/>
      <c r="K557" s="68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</row>
    <row r="558" spans="1:36" ht="15.75" customHeight="1">
      <c r="A558" s="53"/>
      <c r="B558" s="65"/>
      <c r="C558" s="65"/>
      <c r="D558" s="65"/>
      <c r="E558" s="66"/>
      <c r="F558" s="65"/>
      <c r="G558" s="67"/>
      <c r="H558" s="65"/>
      <c r="I558" s="65"/>
      <c r="J558" s="68"/>
      <c r="K558" s="68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</row>
    <row r="559" spans="1:36" ht="15.75" customHeight="1">
      <c r="A559" s="53"/>
      <c r="B559" s="65"/>
      <c r="C559" s="65"/>
      <c r="D559" s="65"/>
      <c r="E559" s="66"/>
      <c r="F559" s="65"/>
      <c r="G559" s="67"/>
      <c r="H559" s="65"/>
      <c r="I559" s="65"/>
      <c r="J559" s="68"/>
      <c r="K559" s="68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</row>
    <row r="560" spans="1:36" ht="15.75" customHeight="1">
      <c r="A560" s="53"/>
      <c r="B560" s="65"/>
      <c r="C560" s="65"/>
      <c r="D560" s="65"/>
      <c r="E560" s="66"/>
      <c r="F560" s="65"/>
      <c r="G560" s="67"/>
      <c r="H560" s="65"/>
      <c r="I560" s="65"/>
      <c r="J560" s="68"/>
      <c r="K560" s="68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</row>
    <row r="561" spans="1:36" ht="15.75" customHeight="1">
      <c r="A561" s="53"/>
      <c r="B561" s="65"/>
      <c r="C561" s="65"/>
      <c r="D561" s="65"/>
      <c r="E561" s="66"/>
      <c r="F561" s="65"/>
      <c r="G561" s="67"/>
      <c r="H561" s="65"/>
      <c r="I561" s="65"/>
      <c r="J561" s="68"/>
      <c r="K561" s="68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</row>
    <row r="562" spans="1:36" ht="15.75" customHeight="1">
      <c r="A562" s="53"/>
      <c r="B562" s="65"/>
      <c r="C562" s="65"/>
      <c r="D562" s="65"/>
      <c r="E562" s="66"/>
      <c r="F562" s="65"/>
      <c r="G562" s="67"/>
      <c r="H562" s="65"/>
      <c r="I562" s="65"/>
      <c r="J562" s="68"/>
      <c r="K562" s="68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</row>
    <row r="563" spans="1:36" ht="15.75" customHeight="1">
      <c r="A563" s="53"/>
      <c r="B563" s="65"/>
      <c r="C563" s="65"/>
      <c r="D563" s="65"/>
      <c r="E563" s="66"/>
      <c r="F563" s="65"/>
      <c r="G563" s="67"/>
      <c r="H563" s="65"/>
      <c r="I563" s="65"/>
      <c r="J563" s="68"/>
      <c r="K563" s="68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</row>
    <row r="564" spans="1:36" ht="15.75" customHeight="1">
      <c r="A564" s="53"/>
      <c r="B564" s="65"/>
      <c r="C564" s="65"/>
      <c r="D564" s="65"/>
      <c r="E564" s="66"/>
      <c r="F564" s="65"/>
      <c r="G564" s="67"/>
      <c r="H564" s="65"/>
      <c r="I564" s="65"/>
      <c r="J564" s="68"/>
      <c r="K564" s="68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</row>
    <row r="565" spans="1:36" ht="15.75" customHeight="1">
      <c r="A565" s="53"/>
      <c r="B565" s="65"/>
      <c r="C565" s="65"/>
      <c r="D565" s="65"/>
      <c r="E565" s="66"/>
      <c r="F565" s="65"/>
      <c r="G565" s="67"/>
      <c r="H565" s="65"/>
      <c r="I565" s="65"/>
      <c r="J565" s="68"/>
      <c r="K565" s="68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</row>
    <row r="566" spans="1:36" ht="15.75" customHeight="1">
      <c r="A566" s="53"/>
      <c r="B566" s="65"/>
      <c r="C566" s="65"/>
      <c r="D566" s="65"/>
      <c r="E566" s="66"/>
      <c r="F566" s="65"/>
      <c r="G566" s="67"/>
      <c r="H566" s="65"/>
      <c r="I566" s="65"/>
      <c r="J566" s="68"/>
      <c r="K566" s="68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</row>
    <row r="567" spans="1:36" ht="15.75" customHeight="1">
      <c r="A567" s="53"/>
      <c r="B567" s="65"/>
      <c r="C567" s="65"/>
      <c r="D567" s="65"/>
      <c r="E567" s="66"/>
      <c r="F567" s="65"/>
      <c r="G567" s="67"/>
      <c r="H567" s="65"/>
      <c r="I567" s="65"/>
      <c r="J567" s="68"/>
      <c r="K567" s="68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</row>
    <row r="568" spans="1:36" ht="15.75" customHeight="1">
      <c r="A568" s="53"/>
      <c r="B568" s="65"/>
      <c r="C568" s="65"/>
      <c r="D568" s="65"/>
      <c r="E568" s="66"/>
      <c r="F568" s="65"/>
      <c r="G568" s="67"/>
      <c r="H568" s="65"/>
      <c r="I568" s="65"/>
      <c r="J568" s="68"/>
      <c r="K568" s="68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</row>
    <row r="569" spans="1:36" ht="15.75" customHeight="1">
      <c r="A569" s="53"/>
      <c r="B569" s="65"/>
      <c r="C569" s="65"/>
      <c r="D569" s="65"/>
      <c r="E569" s="66"/>
      <c r="F569" s="65"/>
      <c r="G569" s="67"/>
      <c r="H569" s="65"/>
      <c r="I569" s="65"/>
      <c r="J569" s="68"/>
      <c r="K569" s="68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</row>
    <row r="570" spans="1:36" ht="15.75" customHeight="1">
      <c r="A570" s="53"/>
      <c r="B570" s="65"/>
      <c r="C570" s="65"/>
      <c r="D570" s="65"/>
      <c r="E570" s="66"/>
      <c r="F570" s="65"/>
      <c r="G570" s="67"/>
      <c r="H570" s="65"/>
      <c r="I570" s="65"/>
      <c r="J570" s="68"/>
      <c r="K570" s="68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</row>
    <row r="571" spans="1:36" ht="15.75" customHeight="1">
      <c r="A571" s="53"/>
      <c r="B571" s="65"/>
      <c r="C571" s="65"/>
      <c r="D571" s="65"/>
      <c r="E571" s="66"/>
      <c r="F571" s="65"/>
      <c r="G571" s="67"/>
      <c r="H571" s="65"/>
      <c r="I571" s="65"/>
      <c r="J571" s="68"/>
      <c r="K571" s="68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</row>
    <row r="572" spans="1:36" ht="15.75" customHeight="1">
      <c r="A572" s="53"/>
      <c r="B572" s="65"/>
      <c r="C572" s="65"/>
      <c r="D572" s="65"/>
      <c r="E572" s="66"/>
      <c r="F572" s="65"/>
      <c r="G572" s="67"/>
      <c r="H572" s="65"/>
      <c r="I572" s="65"/>
      <c r="J572" s="68"/>
      <c r="K572" s="68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</row>
    <row r="573" spans="1:36" ht="15.75" customHeight="1">
      <c r="A573" s="53"/>
      <c r="B573" s="65"/>
      <c r="C573" s="65"/>
      <c r="D573" s="65"/>
      <c r="E573" s="66"/>
      <c r="F573" s="65"/>
      <c r="G573" s="67"/>
      <c r="H573" s="65"/>
      <c r="I573" s="65"/>
      <c r="J573" s="68"/>
      <c r="K573" s="68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</row>
    <row r="574" spans="1:36" ht="15.75" customHeight="1">
      <c r="A574" s="53"/>
      <c r="B574" s="65"/>
      <c r="C574" s="65"/>
      <c r="D574" s="65"/>
      <c r="E574" s="66"/>
      <c r="F574" s="65"/>
      <c r="G574" s="67"/>
      <c r="H574" s="65"/>
      <c r="I574" s="65"/>
      <c r="J574" s="68"/>
      <c r="K574" s="68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</row>
    <row r="575" spans="1:36" ht="15.75" customHeight="1">
      <c r="A575" s="53"/>
      <c r="B575" s="65"/>
      <c r="C575" s="65"/>
      <c r="D575" s="65"/>
      <c r="E575" s="66"/>
      <c r="F575" s="65"/>
      <c r="G575" s="67"/>
      <c r="H575" s="65"/>
      <c r="I575" s="65"/>
      <c r="J575" s="68"/>
      <c r="K575" s="68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</row>
    <row r="576" spans="1:36" ht="15.75" customHeight="1">
      <c r="A576" s="53"/>
      <c r="B576" s="65"/>
      <c r="C576" s="65"/>
      <c r="D576" s="65"/>
      <c r="E576" s="66"/>
      <c r="F576" s="65"/>
      <c r="G576" s="67"/>
      <c r="H576" s="65"/>
      <c r="I576" s="65"/>
      <c r="J576" s="68"/>
      <c r="K576" s="68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</row>
    <row r="577" spans="1:36" ht="15.75" customHeight="1">
      <c r="A577" s="53"/>
      <c r="B577" s="65"/>
      <c r="C577" s="65"/>
      <c r="D577" s="65"/>
      <c r="E577" s="66"/>
      <c r="F577" s="65"/>
      <c r="G577" s="67"/>
      <c r="H577" s="65"/>
      <c r="I577" s="65"/>
      <c r="J577" s="68"/>
      <c r="K577" s="68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</row>
    <row r="578" spans="1:36" ht="15.75" customHeight="1">
      <c r="A578" s="53"/>
      <c r="B578" s="65"/>
      <c r="C578" s="65"/>
      <c r="D578" s="65"/>
      <c r="E578" s="66"/>
      <c r="F578" s="65"/>
      <c r="G578" s="67"/>
      <c r="H578" s="65"/>
      <c r="I578" s="65"/>
      <c r="J578" s="68"/>
      <c r="K578" s="68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</row>
    <row r="579" spans="1:36" ht="15.75" customHeight="1">
      <c r="A579" s="53"/>
      <c r="B579" s="65"/>
      <c r="C579" s="65"/>
      <c r="D579" s="65"/>
      <c r="E579" s="66"/>
      <c r="F579" s="65"/>
      <c r="G579" s="67"/>
      <c r="H579" s="65"/>
      <c r="I579" s="65"/>
      <c r="J579" s="68"/>
      <c r="K579" s="68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</row>
    <row r="580" spans="1:36" ht="15.75" customHeight="1">
      <c r="A580" s="53"/>
      <c r="B580" s="65"/>
      <c r="C580" s="65"/>
      <c r="D580" s="65"/>
      <c r="E580" s="66"/>
      <c r="F580" s="65"/>
      <c r="G580" s="67"/>
      <c r="H580" s="65"/>
      <c r="I580" s="65"/>
      <c r="J580" s="68"/>
      <c r="K580" s="68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</row>
    <row r="581" spans="1:36" ht="15.75" customHeight="1">
      <c r="A581" s="53"/>
      <c r="B581" s="65"/>
      <c r="C581" s="65"/>
      <c r="D581" s="65"/>
      <c r="E581" s="66"/>
      <c r="F581" s="65"/>
      <c r="G581" s="67"/>
      <c r="H581" s="65"/>
      <c r="I581" s="65"/>
      <c r="J581" s="68"/>
      <c r="K581" s="68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</row>
    <row r="582" spans="1:36" ht="15.75" customHeight="1">
      <c r="A582" s="53"/>
      <c r="B582" s="65"/>
      <c r="C582" s="65"/>
      <c r="D582" s="65"/>
      <c r="E582" s="66"/>
      <c r="F582" s="65"/>
      <c r="G582" s="67"/>
      <c r="H582" s="65"/>
      <c r="I582" s="65"/>
      <c r="J582" s="68"/>
      <c r="K582" s="68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</row>
    <row r="583" spans="1:36" ht="15.75" customHeight="1">
      <c r="A583" s="53"/>
      <c r="B583" s="65"/>
      <c r="C583" s="65"/>
      <c r="D583" s="65"/>
      <c r="E583" s="66"/>
      <c r="F583" s="65"/>
      <c r="G583" s="67"/>
      <c r="H583" s="65"/>
      <c r="I583" s="65"/>
      <c r="J583" s="68"/>
      <c r="K583" s="68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</row>
    <row r="584" spans="1:36" ht="15.75" customHeight="1">
      <c r="A584" s="53"/>
      <c r="B584" s="65"/>
      <c r="C584" s="65"/>
      <c r="D584" s="65"/>
      <c r="E584" s="66"/>
      <c r="F584" s="65"/>
      <c r="G584" s="67"/>
      <c r="H584" s="65"/>
      <c r="I584" s="65"/>
      <c r="J584" s="68"/>
      <c r="K584" s="68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</row>
    <row r="585" spans="1:36" ht="15.75" customHeight="1">
      <c r="A585" s="53"/>
      <c r="B585" s="65"/>
      <c r="C585" s="65"/>
      <c r="D585" s="65"/>
      <c r="E585" s="66"/>
      <c r="F585" s="65"/>
      <c r="G585" s="67"/>
      <c r="H585" s="65"/>
      <c r="I585" s="65"/>
      <c r="J585" s="68"/>
      <c r="K585" s="68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</row>
    <row r="586" spans="1:36" ht="15.75" customHeight="1">
      <c r="A586" s="53"/>
      <c r="B586" s="65"/>
      <c r="C586" s="65"/>
      <c r="D586" s="65"/>
      <c r="E586" s="66"/>
      <c r="F586" s="65"/>
      <c r="G586" s="67"/>
      <c r="H586" s="65"/>
      <c r="I586" s="65"/>
      <c r="J586" s="68"/>
      <c r="K586" s="68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</row>
    <row r="587" spans="1:36" ht="15.75" customHeight="1">
      <c r="A587" s="53"/>
      <c r="B587" s="65"/>
      <c r="C587" s="65"/>
      <c r="D587" s="65"/>
      <c r="E587" s="66"/>
      <c r="F587" s="65"/>
      <c r="G587" s="67"/>
      <c r="H587" s="65"/>
      <c r="I587" s="65"/>
      <c r="J587" s="68"/>
      <c r="K587" s="68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</row>
    <row r="588" spans="1:36" ht="15.75" customHeight="1">
      <c r="A588" s="53"/>
      <c r="B588" s="65"/>
      <c r="C588" s="65"/>
      <c r="D588" s="65"/>
      <c r="E588" s="66"/>
      <c r="F588" s="65"/>
      <c r="G588" s="67"/>
      <c r="H588" s="65"/>
      <c r="I588" s="65"/>
      <c r="J588" s="68"/>
      <c r="K588" s="68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</row>
    <row r="589" spans="1:36" ht="15.75" customHeight="1">
      <c r="A589" s="53"/>
      <c r="B589" s="65"/>
      <c r="C589" s="65"/>
      <c r="D589" s="65"/>
      <c r="E589" s="66"/>
      <c r="F589" s="65"/>
      <c r="G589" s="67"/>
      <c r="H589" s="65"/>
      <c r="I589" s="65"/>
      <c r="J589" s="68"/>
      <c r="K589" s="68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</row>
    <row r="590" spans="1:36" ht="15.75" customHeight="1">
      <c r="A590" s="53"/>
      <c r="B590" s="65"/>
      <c r="C590" s="65"/>
      <c r="D590" s="65"/>
      <c r="E590" s="66"/>
      <c r="F590" s="65"/>
      <c r="G590" s="67"/>
      <c r="H590" s="65"/>
      <c r="I590" s="65"/>
      <c r="J590" s="68"/>
      <c r="K590" s="68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</row>
    <row r="591" spans="1:36" ht="15.75" customHeight="1">
      <c r="A591" s="53"/>
      <c r="B591" s="65"/>
      <c r="C591" s="65"/>
      <c r="D591" s="65"/>
      <c r="E591" s="66"/>
      <c r="F591" s="65"/>
      <c r="G591" s="67"/>
      <c r="H591" s="65"/>
      <c r="I591" s="65"/>
      <c r="J591" s="68"/>
      <c r="K591" s="68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</row>
    <row r="592" spans="1:36" ht="15.75" customHeight="1">
      <c r="A592" s="53"/>
      <c r="B592" s="65"/>
      <c r="C592" s="65"/>
      <c r="D592" s="65"/>
      <c r="E592" s="66"/>
      <c r="F592" s="65"/>
      <c r="G592" s="67"/>
      <c r="H592" s="65"/>
      <c r="I592" s="65"/>
      <c r="J592" s="68"/>
      <c r="K592" s="68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</row>
    <row r="593" spans="1:36" ht="15.75" customHeight="1">
      <c r="A593" s="53"/>
      <c r="B593" s="65"/>
      <c r="C593" s="65"/>
      <c r="D593" s="65"/>
      <c r="E593" s="66"/>
      <c r="F593" s="65"/>
      <c r="G593" s="67"/>
      <c r="H593" s="65"/>
      <c r="I593" s="65"/>
      <c r="J593" s="68"/>
      <c r="K593" s="68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</row>
    <row r="594" spans="1:36" ht="15.75" customHeight="1">
      <c r="A594" s="53"/>
      <c r="B594" s="65"/>
      <c r="C594" s="65"/>
      <c r="D594" s="65"/>
      <c r="E594" s="66"/>
      <c r="F594" s="65"/>
      <c r="G594" s="67"/>
      <c r="H594" s="65"/>
      <c r="I594" s="65"/>
      <c r="J594" s="68"/>
      <c r="K594" s="68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</row>
    <row r="595" spans="1:36" ht="15.75" customHeight="1">
      <c r="A595" s="53"/>
      <c r="B595" s="65"/>
      <c r="C595" s="65"/>
      <c r="D595" s="65"/>
      <c r="E595" s="66"/>
      <c r="F595" s="65"/>
      <c r="G595" s="67"/>
      <c r="H595" s="65"/>
      <c r="I595" s="65"/>
      <c r="J595" s="68"/>
      <c r="K595" s="68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</row>
    <row r="596" spans="1:36" ht="15.75" customHeight="1">
      <c r="A596" s="53"/>
      <c r="B596" s="65"/>
      <c r="C596" s="65"/>
      <c r="D596" s="65"/>
      <c r="E596" s="66"/>
      <c r="F596" s="65"/>
      <c r="G596" s="67"/>
      <c r="H596" s="65"/>
      <c r="I596" s="65"/>
      <c r="J596" s="68"/>
      <c r="K596" s="68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</row>
    <row r="597" spans="1:36" ht="15.75" customHeight="1">
      <c r="A597" s="53"/>
      <c r="B597" s="65"/>
      <c r="C597" s="65"/>
      <c r="D597" s="65"/>
      <c r="E597" s="66"/>
      <c r="F597" s="65"/>
      <c r="G597" s="67"/>
      <c r="H597" s="65"/>
      <c r="I597" s="65"/>
      <c r="J597" s="68"/>
      <c r="K597" s="68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</row>
    <row r="598" spans="1:36" ht="15.75" customHeight="1">
      <c r="A598" s="53"/>
      <c r="B598" s="65"/>
      <c r="C598" s="65"/>
      <c r="D598" s="65"/>
      <c r="E598" s="66"/>
      <c r="F598" s="65"/>
      <c r="G598" s="67"/>
      <c r="H598" s="65"/>
      <c r="I598" s="65"/>
      <c r="J598" s="68"/>
      <c r="K598" s="68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</row>
    <row r="599" spans="1:36" ht="15.75" customHeight="1">
      <c r="A599" s="53"/>
      <c r="B599" s="65"/>
      <c r="C599" s="65"/>
      <c r="D599" s="65"/>
      <c r="E599" s="66"/>
      <c r="F599" s="65"/>
      <c r="G599" s="67"/>
      <c r="H599" s="65"/>
      <c r="I599" s="65"/>
      <c r="J599" s="68"/>
      <c r="K599" s="68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</row>
    <row r="600" spans="1:36" ht="15.75" customHeight="1">
      <c r="A600" s="53"/>
      <c r="B600" s="65"/>
      <c r="C600" s="65"/>
      <c r="D600" s="65"/>
      <c r="E600" s="66"/>
      <c r="F600" s="65"/>
      <c r="G600" s="67"/>
      <c r="H600" s="65"/>
      <c r="I600" s="65"/>
      <c r="J600" s="68"/>
      <c r="K600" s="68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</row>
    <row r="601" spans="1:36" ht="15.75" customHeight="1">
      <c r="A601" s="53"/>
      <c r="B601" s="65"/>
      <c r="C601" s="65"/>
      <c r="D601" s="65"/>
      <c r="E601" s="66"/>
      <c r="F601" s="65"/>
      <c r="G601" s="67"/>
      <c r="H601" s="65"/>
      <c r="I601" s="65"/>
      <c r="J601" s="68"/>
      <c r="K601" s="68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</row>
    <row r="602" spans="1:36" ht="15.75" customHeight="1">
      <c r="A602" s="53"/>
      <c r="B602" s="65"/>
      <c r="C602" s="65"/>
      <c r="D602" s="65"/>
      <c r="E602" s="66"/>
      <c r="F602" s="65"/>
      <c r="G602" s="67"/>
      <c r="H602" s="65"/>
      <c r="I602" s="65"/>
      <c r="J602" s="68"/>
      <c r="K602" s="68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</row>
    <row r="603" spans="1:36" ht="15.75" customHeight="1">
      <c r="A603" s="53"/>
      <c r="B603" s="65"/>
      <c r="C603" s="65"/>
      <c r="D603" s="65"/>
      <c r="E603" s="66"/>
      <c r="F603" s="65"/>
      <c r="G603" s="67"/>
      <c r="H603" s="65"/>
      <c r="I603" s="65"/>
      <c r="J603" s="68"/>
      <c r="K603" s="68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</row>
    <row r="604" spans="1:36" ht="15.75" customHeight="1">
      <c r="A604" s="53"/>
      <c r="B604" s="65"/>
      <c r="C604" s="65"/>
      <c r="D604" s="65"/>
      <c r="E604" s="66"/>
      <c r="F604" s="65"/>
      <c r="G604" s="67"/>
      <c r="H604" s="65"/>
      <c r="I604" s="65"/>
      <c r="J604" s="68"/>
      <c r="K604" s="68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</row>
    <row r="605" spans="1:36" ht="15.75" customHeight="1">
      <c r="A605" s="53"/>
      <c r="B605" s="65"/>
      <c r="C605" s="65"/>
      <c r="D605" s="65"/>
      <c r="E605" s="66"/>
      <c r="F605" s="65"/>
      <c r="G605" s="67"/>
      <c r="H605" s="65"/>
      <c r="I605" s="65"/>
      <c r="J605" s="68"/>
      <c r="K605" s="68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</row>
    <row r="606" spans="1:36" ht="15.75" customHeight="1">
      <c r="A606" s="53"/>
      <c r="B606" s="65"/>
      <c r="C606" s="65"/>
      <c r="D606" s="65"/>
      <c r="E606" s="66"/>
      <c r="F606" s="65"/>
      <c r="G606" s="67"/>
      <c r="H606" s="65"/>
      <c r="I606" s="65"/>
      <c r="J606" s="68"/>
      <c r="K606" s="68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</row>
    <row r="607" spans="1:36" ht="15.75" customHeight="1">
      <c r="A607" s="53"/>
      <c r="B607" s="65"/>
      <c r="C607" s="65"/>
      <c r="D607" s="65"/>
      <c r="E607" s="66"/>
      <c r="F607" s="65"/>
      <c r="G607" s="67"/>
      <c r="H607" s="65"/>
      <c r="I607" s="65"/>
      <c r="J607" s="68"/>
      <c r="K607" s="68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</row>
    <row r="608" spans="1:36" ht="15.75" customHeight="1">
      <c r="A608" s="53"/>
      <c r="B608" s="65"/>
      <c r="C608" s="65"/>
      <c r="D608" s="65"/>
      <c r="E608" s="66"/>
      <c r="F608" s="65"/>
      <c r="G608" s="67"/>
      <c r="H608" s="65"/>
      <c r="I608" s="65"/>
      <c r="J608" s="68"/>
      <c r="K608" s="68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</row>
    <row r="609" spans="1:36" ht="15.75" customHeight="1">
      <c r="A609" s="53"/>
      <c r="B609" s="65"/>
      <c r="C609" s="65"/>
      <c r="D609" s="65"/>
      <c r="E609" s="66"/>
      <c r="F609" s="65"/>
      <c r="G609" s="67"/>
      <c r="H609" s="65"/>
      <c r="I609" s="65"/>
      <c r="J609" s="68"/>
      <c r="K609" s="68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</row>
    <row r="610" spans="1:36" ht="15.75" customHeight="1">
      <c r="A610" s="53"/>
      <c r="B610" s="65"/>
      <c r="C610" s="65"/>
      <c r="D610" s="65"/>
      <c r="E610" s="66"/>
      <c r="F610" s="65"/>
      <c r="G610" s="67"/>
      <c r="H610" s="65"/>
      <c r="I610" s="65"/>
      <c r="J610" s="68"/>
      <c r="K610" s="68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</row>
    <row r="611" spans="1:36" ht="15.75" customHeight="1">
      <c r="A611" s="53"/>
      <c r="B611" s="65"/>
      <c r="C611" s="65"/>
      <c r="D611" s="65"/>
      <c r="E611" s="66"/>
      <c r="F611" s="65"/>
      <c r="G611" s="67"/>
      <c r="H611" s="65"/>
      <c r="I611" s="65"/>
      <c r="J611" s="68"/>
      <c r="K611" s="68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</row>
    <row r="612" spans="1:36" ht="15.75" customHeight="1">
      <c r="A612" s="53"/>
      <c r="B612" s="65"/>
      <c r="C612" s="65"/>
      <c r="D612" s="65"/>
      <c r="E612" s="66"/>
      <c r="F612" s="65"/>
      <c r="G612" s="67"/>
      <c r="H612" s="65"/>
      <c r="I612" s="65"/>
      <c r="J612" s="68"/>
      <c r="K612" s="68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</row>
    <row r="613" spans="1:36" ht="15.75" customHeight="1">
      <c r="A613" s="53"/>
      <c r="B613" s="65"/>
      <c r="C613" s="65"/>
      <c r="D613" s="65"/>
      <c r="E613" s="66"/>
      <c r="F613" s="65"/>
      <c r="G613" s="67"/>
      <c r="H613" s="65"/>
      <c r="I613" s="65"/>
      <c r="J613" s="68"/>
      <c r="K613" s="68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</row>
    <row r="614" spans="1:36" ht="15.75" customHeight="1">
      <c r="A614" s="53"/>
      <c r="B614" s="65"/>
      <c r="C614" s="65"/>
      <c r="D614" s="65"/>
      <c r="E614" s="66"/>
      <c r="F614" s="65"/>
      <c r="G614" s="67"/>
      <c r="H614" s="65"/>
      <c r="I614" s="65"/>
      <c r="J614" s="68"/>
      <c r="K614" s="68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</row>
    <row r="615" spans="1:36" ht="15.75" customHeight="1">
      <c r="A615" s="53"/>
      <c r="B615" s="65"/>
      <c r="C615" s="65"/>
      <c r="D615" s="65"/>
      <c r="E615" s="66"/>
      <c r="F615" s="65"/>
      <c r="G615" s="67"/>
      <c r="H615" s="65"/>
      <c r="I615" s="65"/>
      <c r="J615" s="68"/>
      <c r="K615" s="68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</row>
    <row r="616" spans="1:36" ht="15.75" customHeight="1">
      <c r="A616" s="53"/>
      <c r="B616" s="65"/>
      <c r="C616" s="65"/>
      <c r="D616" s="65"/>
      <c r="E616" s="66"/>
      <c r="F616" s="65"/>
      <c r="G616" s="67"/>
      <c r="H616" s="65"/>
      <c r="I616" s="65"/>
      <c r="J616" s="68"/>
      <c r="K616" s="68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</row>
    <row r="617" spans="1:36" ht="15.75" customHeight="1">
      <c r="A617" s="53"/>
      <c r="B617" s="65"/>
      <c r="C617" s="65"/>
      <c r="D617" s="65"/>
      <c r="E617" s="66"/>
      <c r="F617" s="65"/>
      <c r="G617" s="67"/>
      <c r="H617" s="65"/>
      <c r="I617" s="65"/>
      <c r="J617" s="68"/>
      <c r="K617" s="68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</row>
    <row r="618" spans="1:36" ht="15.75" customHeight="1">
      <c r="A618" s="53"/>
      <c r="B618" s="65"/>
      <c r="C618" s="65"/>
      <c r="D618" s="65"/>
      <c r="E618" s="66"/>
      <c r="F618" s="65"/>
      <c r="G618" s="67"/>
      <c r="H618" s="65"/>
      <c r="I618" s="65"/>
      <c r="J618" s="68"/>
      <c r="K618" s="68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</row>
    <row r="619" spans="1:36" ht="15.75" customHeight="1">
      <c r="A619" s="53"/>
      <c r="B619" s="65"/>
      <c r="C619" s="65"/>
      <c r="D619" s="65"/>
      <c r="E619" s="66"/>
      <c r="F619" s="65"/>
      <c r="G619" s="67"/>
      <c r="H619" s="65"/>
      <c r="I619" s="65"/>
      <c r="J619" s="68"/>
      <c r="K619" s="68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</row>
    <row r="620" spans="1:36" ht="15.75" customHeight="1">
      <c r="A620" s="53"/>
      <c r="B620" s="65"/>
      <c r="C620" s="65"/>
      <c r="D620" s="65"/>
      <c r="E620" s="66"/>
      <c r="F620" s="65"/>
      <c r="G620" s="67"/>
      <c r="H620" s="65"/>
      <c r="I620" s="65"/>
      <c r="J620" s="68"/>
      <c r="K620" s="68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</row>
    <row r="621" spans="1:36" ht="15.75" customHeight="1">
      <c r="A621" s="53"/>
      <c r="B621" s="65"/>
      <c r="C621" s="65"/>
      <c r="D621" s="65"/>
      <c r="E621" s="66"/>
      <c r="F621" s="65"/>
      <c r="G621" s="67"/>
      <c r="H621" s="65"/>
      <c r="I621" s="65"/>
      <c r="J621" s="68"/>
      <c r="K621" s="68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</row>
    <row r="622" spans="1:36" ht="15.75" customHeight="1">
      <c r="A622" s="53"/>
      <c r="B622" s="65"/>
      <c r="C622" s="65"/>
      <c r="D622" s="65"/>
      <c r="E622" s="66"/>
      <c r="F622" s="65"/>
      <c r="G622" s="67"/>
      <c r="H622" s="65"/>
      <c r="I622" s="65"/>
      <c r="J622" s="68"/>
      <c r="K622" s="68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</row>
    <row r="623" spans="1:36" ht="15.75" customHeight="1">
      <c r="A623" s="53"/>
      <c r="B623" s="65"/>
      <c r="C623" s="65"/>
      <c r="D623" s="65"/>
      <c r="E623" s="66"/>
      <c r="F623" s="65"/>
      <c r="G623" s="67"/>
      <c r="H623" s="65"/>
      <c r="I623" s="65"/>
      <c r="J623" s="68"/>
      <c r="K623" s="68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</row>
    <row r="624" spans="1:36" ht="15.75" customHeight="1">
      <c r="A624" s="53"/>
      <c r="B624" s="65"/>
      <c r="C624" s="65"/>
      <c r="D624" s="65"/>
      <c r="E624" s="66"/>
      <c r="F624" s="65"/>
      <c r="G624" s="67"/>
      <c r="H624" s="65"/>
      <c r="I624" s="65"/>
      <c r="J624" s="68"/>
      <c r="K624" s="68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</row>
    <row r="625" spans="1:36" ht="15.75" customHeight="1">
      <c r="A625" s="53"/>
      <c r="B625" s="65"/>
      <c r="C625" s="65"/>
      <c r="D625" s="65"/>
      <c r="E625" s="66"/>
      <c r="F625" s="65"/>
      <c r="G625" s="67"/>
      <c r="H625" s="65"/>
      <c r="I625" s="65"/>
      <c r="J625" s="68"/>
      <c r="K625" s="68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</row>
    <row r="626" spans="1:36" ht="15.75" customHeight="1">
      <c r="A626" s="53"/>
      <c r="B626" s="65"/>
      <c r="C626" s="65"/>
      <c r="D626" s="65"/>
      <c r="E626" s="66"/>
      <c r="F626" s="65"/>
      <c r="G626" s="67"/>
      <c r="H626" s="65"/>
      <c r="I626" s="65"/>
      <c r="J626" s="68"/>
      <c r="K626" s="68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</row>
    <row r="627" spans="1:36" ht="15.75" customHeight="1">
      <c r="A627" s="53"/>
      <c r="B627" s="65"/>
      <c r="C627" s="65"/>
      <c r="D627" s="65"/>
      <c r="E627" s="66"/>
      <c r="F627" s="65"/>
      <c r="G627" s="67"/>
      <c r="H627" s="65"/>
      <c r="I627" s="65"/>
      <c r="J627" s="68"/>
      <c r="K627" s="68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</row>
    <row r="628" spans="1:36" ht="15.75" customHeight="1">
      <c r="A628" s="53"/>
      <c r="B628" s="65"/>
      <c r="C628" s="65"/>
      <c r="D628" s="65"/>
      <c r="E628" s="66"/>
      <c r="F628" s="65"/>
      <c r="G628" s="67"/>
      <c r="H628" s="65"/>
      <c r="I628" s="65"/>
      <c r="J628" s="68"/>
      <c r="K628" s="68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</row>
    <row r="629" spans="1:36" ht="15.75" customHeight="1">
      <c r="A629" s="53"/>
      <c r="B629" s="65"/>
      <c r="C629" s="65"/>
      <c r="D629" s="65"/>
      <c r="E629" s="66"/>
      <c r="F629" s="65"/>
      <c r="G629" s="67"/>
      <c r="H629" s="65"/>
      <c r="I629" s="65"/>
      <c r="J629" s="68"/>
      <c r="K629" s="68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</row>
    <row r="630" spans="1:36" ht="15.75" customHeight="1">
      <c r="A630" s="53"/>
      <c r="B630" s="65"/>
      <c r="C630" s="65"/>
      <c r="D630" s="65"/>
      <c r="E630" s="66"/>
      <c r="F630" s="65"/>
      <c r="G630" s="67"/>
      <c r="H630" s="65"/>
      <c r="I630" s="65"/>
      <c r="J630" s="68"/>
      <c r="K630" s="68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</row>
    <row r="631" spans="1:36" ht="15.75" customHeight="1">
      <c r="A631" s="53"/>
      <c r="B631" s="65"/>
      <c r="C631" s="65"/>
      <c r="D631" s="65"/>
      <c r="E631" s="66"/>
      <c r="F631" s="65"/>
      <c r="G631" s="67"/>
      <c r="H631" s="65"/>
      <c r="I631" s="65"/>
      <c r="J631" s="68"/>
      <c r="K631" s="68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</row>
    <row r="632" spans="1:36" ht="15.75" customHeight="1">
      <c r="A632" s="53"/>
      <c r="B632" s="65"/>
      <c r="C632" s="65"/>
      <c r="D632" s="65"/>
      <c r="E632" s="66"/>
      <c r="F632" s="65"/>
      <c r="G632" s="67"/>
      <c r="H632" s="65"/>
      <c r="I632" s="65"/>
      <c r="J632" s="68"/>
      <c r="K632" s="68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</row>
    <row r="633" spans="1:36" ht="15.75" customHeight="1">
      <c r="A633" s="53"/>
      <c r="B633" s="65"/>
      <c r="C633" s="65"/>
      <c r="D633" s="65"/>
      <c r="E633" s="66"/>
      <c r="F633" s="65"/>
      <c r="G633" s="67"/>
      <c r="H633" s="65"/>
      <c r="I633" s="65"/>
      <c r="J633" s="68"/>
      <c r="K633" s="68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</row>
    <row r="634" spans="1:36" ht="15.75" customHeight="1">
      <c r="A634" s="53"/>
      <c r="B634" s="65"/>
      <c r="C634" s="65"/>
      <c r="D634" s="65"/>
      <c r="E634" s="66"/>
      <c r="F634" s="65"/>
      <c r="G634" s="67"/>
      <c r="H634" s="65"/>
      <c r="I634" s="65"/>
      <c r="J634" s="68"/>
      <c r="K634" s="68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</row>
    <row r="635" spans="1:36" ht="15.75" customHeight="1">
      <c r="A635" s="53"/>
      <c r="B635" s="65"/>
      <c r="C635" s="65"/>
      <c r="D635" s="65"/>
      <c r="E635" s="66"/>
      <c r="F635" s="65"/>
      <c r="G635" s="67"/>
      <c r="H635" s="65"/>
      <c r="I635" s="65"/>
      <c r="J635" s="68"/>
      <c r="K635" s="68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</row>
    <row r="636" spans="1:36" ht="15.75" customHeight="1">
      <c r="A636" s="53"/>
      <c r="B636" s="65"/>
      <c r="C636" s="65"/>
      <c r="D636" s="65"/>
      <c r="E636" s="66"/>
      <c r="F636" s="65"/>
      <c r="G636" s="67"/>
      <c r="H636" s="65"/>
      <c r="I636" s="65"/>
      <c r="J636" s="68"/>
      <c r="K636" s="68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</row>
    <row r="637" spans="1:36" ht="15.75" customHeight="1">
      <c r="A637" s="53"/>
      <c r="B637" s="65"/>
      <c r="C637" s="65"/>
      <c r="D637" s="65"/>
      <c r="E637" s="66"/>
      <c r="F637" s="65"/>
      <c r="G637" s="67"/>
      <c r="H637" s="65"/>
      <c r="I637" s="65"/>
      <c r="J637" s="68"/>
      <c r="K637" s="68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</row>
    <row r="638" spans="1:36" ht="15.75" customHeight="1">
      <c r="A638" s="53"/>
      <c r="B638" s="65"/>
      <c r="C638" s="65"/>
      <c r="D638" s="65"/>
      <c r="E638" s="66"/>
      <c r="F638" s="65"/>
      <c r="G638" s="67"/>
      <c r="H638" s="65"/>
      <c r="I638" s="65"/>
      <c r="J638" s="68"/>
      <c r="K638" s="68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</row>
    <row r="639" spans="1:36" ht="15.75" customHeight="1">
      <c r="A639" s="53"/>
      <c r="B639" s="65"/>
      <c r="C639" s="65"/>
      <c r="D639" s="65"/>
      <c r="E639" s="66"/>
      <c r="F639" s="65"/>
      <c r="G639" s="67"/>
      <c r="H639" s="65"/>
      <c r="I639" s="65"/>
      <c r="J639" s="68"/>
      <c r="K639" s="68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</row>
    <row r="640" spans="1:36" ht="15.75" customHeight="1">
      <c r="A640" s="53"/>
      <c r="B640" s="65"/>
      <c r="C640" s="65"/>
      <c r="D640" s="65"/>
      <c r="E640" s="66"/>
      <c r="F640" s="65"/>
      <c r="G640" s="67"/>
      <c r="H640" s="65"/>
      <c r="I640" s="65"/>
      <c r="J640" s="68"/>
      <c r="K640" s="68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</row>
    <row r="641" spans="1:36" ht="15.75" customHeight="1">
      <c r="A641" s="53"/>
      <c r="B641" s="65"/>
      <c r="C641" s="65"/>
      <c r="D641" s="65"/>
      <c r="E641" s="66"/>
      <c r="F641" s="65"/>
      <c r="G641" s="67"/>
      <c r="H641" s="65"/>
      <c r="I641" s="65"/>
      <c r="J641" s="68"/>
      <c r="K641" s="68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</row>
    <row r="642" spans="1:36" ht="15.75" customHeight="1">
      <c r="A642" s="53"/>
      <c r="B642" s="65"/>
      <c r="C642" s="65"/>
      <c r="D642" s="65"/>
      <c r="E642" s="66"/>
      <c r="F642" s="65"/>
      <c r="G642" s="67"/>
      <c r="H642" s="65"/>
      <c r="I642" s="65"/>
      <c r="J642" s="68"/>
      <c r="K642" s="68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</row>
    <row r="643" spans="1:36" ht="15.75" customHeight="1">
      <c r="A643" s="53"/>
      <c r="B643" s="65"/>
      <c r="C643" s="65"/>
      <c r="D643" s="65"/>
      <c r="E643" s="66"/>
      <c r="F643" s="65"/>
      <c r="G643" s="67"/>
      <c r="H643" s="65"/>
      <c r="I643" s="65"/>
      <c r="J643" s="68"/>
      <c r="K643" s="68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</row>
    <row r="644" spans="1:36" ht="15.75" customHeight="1">
      <c r="A644" s="53"/>
      <c r="B644" s="65"/>
      <c r="C644" s="65"/>
      <c r="D644" s="65"/>
      <c r="E644" s="66"/>
      <c r="F644" s="65"/>
      <c r="G644" s="67"/>
      <c r="H644" s="65"/>
      <c r="I644" s="65"/>
      <c r="J644" s="68"/>
      <c r="K644" s="68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</row>
    <row r="645" spans="1:36" ht="15.75" customHeight="1">
      <c r="A645" s="53"/>
      <c r="B645" s="65"/>
      <c r="C645" s="65"/>
      <c r="D645" s="65"/>
      <c r="E645" s="66"/>
      <c r="F645" s="65"/>
      <c r="G645" s="67"/>
      <c r="H645" s="65"/>
      <c r="I645" s="65"/>
      <c r="J645" s="68"/>
      <c r="K645" s="68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</row>
    <row r="646" spans="1:36" ht="15.75" customHeight="1">
      <c r="A646" s="53"/>
      <c r="B646" s="65"/>
      <c r="C646" s="65"/>
      <c r="D646" s="65"/>
      <c r="E646" s="66"/>
      <c r="F646" s="65"/>
      <c r="G646" s="67"/>
      <c r="H646" s="65"/>
      <c r="I646" s="65"/>
      <c r="J646" s="68"/>
      <c r="K646" s="68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</row>
    <row r="647" spans="1:36" ht="15.75" customHeight="1">
      <c r="A647" s="53"/>
      <c r="B647" s="65"/>
      <c r="C647" s="65"/>
      <c r="D647" s="65"/>
      <c r="E647" s="66"/>
      <c r="F647" s="65"/>
      <c r="G647" s="67"/>
      <c r="H647" s="65"/>
      <c r="I647" s="65"/>
      <c r="J647" s="68"/>
      <c r="K647" s="68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</row>
    <row r="648" spans="1:36" ht="15.75" customHeight="1">
      <c r="A648" s="53"/>
      <c r="B648" s="65"/>
      <c r="C648" s="65"/>
      <c r="D648" s="65"/>
      <c r="E648" s="66"/>
      <c r="F648" s="65"/>
      <c r="G648" s="67"/>
      <c r="H648" s="65"/>
      <c r="I648" s="65"/>
      <c r="J648" s="68"/>
      <c r="K648" s="68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</row>
    <row r="649" spans="1:36" ht="15.75" customHeight="1">
      <c r="A649" s="53"/>
      <c r="B649" s="65"/>
      <c r="C649" s="65"/>
      <c r="D649" s="65"/>
      <c r="E649" s="66"/>
      <c r="F649" s="65"/>
      <c r="G649" s="67"/>
      <c r="H649" s="65"/>
      <c r="I649" s="65"/>
      <c r="J649" s="68"/>
      <c r="K649" s="68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</row>
    <row r="650" spans="1:36" ht="15.75" customHeight="1">
      <c r="A650" s="53"/>
      <c r="B650" s="65"/>
      <c r="C650" s="65"/>
      <c r="D650" s="65"/>
      <c r="E650" s="66"/>
      <c r="F650" s="65"/>
      <c r="G650" s="67"/>
      <c r="H650" s="65"/>
      <c r="I650" s="65"/>
      <c r="J650" s="68"/>
      <c r="K650" s="68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</row>
    <row r="651" spans="1:36" ht="15.75" customHeight="1">
      <c r="A651" s="53"/>
      <c r="B651" s="65"/>
      <c r="C651" s="65"/>
      <c r="D651" s="65"/>
      <c r="E651" s="66"/>
      <c r="F651" s="65"/>
      <c r="G651" s="67"/>
      <c r="H651" s="65"/>
      <c r="I651" s="65"/>
      <c r="J651" s="68"/>
      <c r="K651" s="68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</row>
    <row r="652" spans="1:36" ht="15.75" customHeight="1">
      <c r="A652" s="53"/>
      <c r="B652" s="65"/>
      <c r="C652" s="65"/>
      <c r="D652" s="65"/>
      <c r="E652" s="66"/>
      <c r="F652" s="65"/>
      <c r="G652" s="67"/>
      <c r="H652" s="65"/>
      <c r="I652" s="65"/>
      <c r="J652" s="68"/>
      <c r="K652" s="68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</row>
    <row r="653" spans="1:36" ht="15.75" customHeight="1">
      <c r="A653" s="53"/>
      <c r="B653" s="65"/>
      <c r="C653" s="65"/>
      <c r="D653" s="65"/>
      <c r="E653" s="66"/>
      <c r="F653" s="65"/>
      <c r="G653" s="67"/>
      <c r="H653" s="65"/>
      <c r="I653" s="65"/>
      <c r="J653" s="68"/>
      <c r="K653" s="68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</row>
    <row r="654" spans="1:36" ht="15.75" customHeight="1">
      <c r="A654" s="53"/>
      <c r="B654" s="65"/>
      <c r="C654" s="65"/>
      <c r="D654" s="65"/>
      <c r="E654" s="66"/>
      <c r="F654" s="65"/>
      <c r="G654" s="67"/>
      <c r="H654" s="65"/>
      <c r="I654" s="65"/>
      <c r="J654" s="68"/>
      <c r="K654" s="68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</row>
    <row r="655" spans="1:36" ht="15.75" customHeight="1">
      <c r="A655" s="53"/>
      <c r="B655" s="65"/>
      <c r="C655" s="65"/>
      <c r="D655" s="65"/>
      <c r="E655" s="66"/>
      <c r="F655" s="65"/>
      <c r="G655" s="67"/>
      <c r="H655" s="65"/>
      <c r="I655" s="65"/>
      <c r="J655" s="68"/>
      <c r="K655" s="68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</row>
    <row r="656" spans="1:36" ht="15.75" customHeight="1">
      <c r="A656" s="53"/>
      <c r="B656" s="65"/>
      <c r="C656" s="65"/>
      <c r="D656" s="65"/>
      <c r="E656" s="66"/>
      <c r="F656" s="65"/>
      <c r="G656" s="67"/>
      <c r="H656" s="65"/>
      <c r="I656" s="65"/>
      <c r="J656" s="68"/>
      <c r="K656" s="68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</row>
    <row r="657" spans="1:36" ht="15.75" customHeight="1">
      <c r="A657" s="53"/>
      <c r="B657" s="65"/>
      <c r="C657" s="65"/>
      <c r="D657" s="65"/>
      <c r="E657" s="66"/>
      <c r="F657" s="65"/>
      <c r="G657" s="67"/>
      <c r="H657" s="65"/>
      <c r="I657" s="65"/>
      <c r="J657" s="68"/>
      <c r="K657" s="68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</row>
    <row r="658" spans="1:36" ht="15.75" customHeight="1">
      <c r="A658" s="53"/>
      <c r="B658" s="65"/>
      <c r="C658" s="65"/>
      <c r="D658" s="65"/>
      <c r="E658" s="66"/>
      <c r="F658" s="65"/>
      <c r="G658" s="67"/>
      <c r="H658" s="65"/>
      <c r="I658" s="65"/>
      <c r="J658" s="68"/>
      <c r="K658" s="68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</row>
    <row r="659" spans="1:36" ht="15.75" customHeight="1">
      <c r="A659" s="53"/>
      <c r="B659" s="65"/>
      <c r="C659" s="65"/>
      <c r="D659" s="65"/>
      <c r="E659" s="66"/>
      <c r="F659" s="65"/>
      <c r="G659" s="67"/>
      <c r="H659" s="65"/>
      <c r="I659" s="65"/>
      <c r="J659" s="68"/>
      <c r="K659" s="68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</row>
    <row r="660" spans="1:36" ht="15.75" customHeight="1">
      <c r="A660" s="53"/>
      <c r="B660" s="65"/>
      <c r="C660" s="65"/>
      <c r="D660" s="65"/>
      <c r="E660" s="66"/>
      <c r="F660" s="65"/>
      <c r="G660" s="67"/>
      <c r="H660" s="65"/>
      <c r="I660" s="65"/>
      <c r="J660" s="68"/>
      <c r="K660" s="68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</row>
    <row r="661" spans="1:36" ht="15.75" customHeight="1">
      <c r="A661" s="53"/>
      <c r="B661" s="65"/>
      <c r="C661" s="65"/>
      <c r="D661" s="65"/>
      <c r="E661" s="66"/>
      <c r="F661" s="65"/>
      <c r="G661" s="67"/>
      <c r="H661" s="65"/>
      <c r="I661" s="65"/>
      <c r="J661" s="68"/>
      <c r="K661" s="68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</row>
    <row r="662" spans="1:36" ht="15.75" customHeight="1">
      <c r="A662" s="53"/>
      <c r="B662" s="65"/>
      <c r="C662" s="65"/>
      <c r="D662" s="65"/>
      <c r="E662" s="66"/>
      <c r="F662" s="65"/>
      <c r="G662" s="67"/>
      <c r="H662" s="65"/>
      <c r="I662" s="65"/>
      <c r="J662" s="68"/>
      <c r="K662" s="68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</row>
    <row r="663" spans="1:36" ht="15.75" customHeight="1">
      <c r="A663" s="53"/>
      <c r="B663" s="65"/>
      <c r="C663" s="65"/>
      <c r="D663" s="65"/>
      <c r="E663" s="66"/>
      <c r="F663" s="65"/>
      <c r="G663" s="67"/>
      <c r="H663" s="65"/>
      <c r="I663" s="65"/>
      <c r="J663" s="68"/>
      <c r="K663" s="68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</row>
    <row r="664" spans="1:36" ht="15.75" customHeight="1">
      <c r="A664" s="53"/>
      <c r="B664" s="65"/>
      <c r="C664" s="65"/>
      <c r="D664" s="65"/>
      <c r="E664" s="66"/>
      <c r="F664" s="65"/>
      <c r="G664" s="67"/>
      <c r="H664" s="65"/>
      <c r="I664" s="65"/>
      <c r="J664" s="68"/>
      <c r="K664" s="68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</row>
    <row r="665" spans="1:36" ht="15.75" customHeight="1">
      <c r="A665" s="53"/>
      <c r="B665" s="65"/>
      <c r="C665" s="65"/>
      <c r="D665" s="65"/>
      <c r="E665" s="66"/>
      <c r="F665" s="65"/>
      <c r="G665" s="67"/>
      <c r="H665" s="65"/>
      <c r="I665" s="65"/>
      <c r="J665" s="68"/>
      <c r="K665" s="68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</row>
    <row r="666" spans="1:36" ht="15.75" customHeight="1">
      <c r="A666" s="53"/>
      <c r="B666" s="65"/>
      <c r="C666" s="65"/>
      <c r="D666" s="65"/>
      <c r="E666" s="66"/>
      <c r="F666" s="65"/>
      <c r="G666" s="67"/>
      <c r="H666" s="65"/>
      <c r="I666" s="65"/>
      <c r="J666" s="68"/>
      <c r="K666" s="68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</row>
    <row r="667" spans="1:36" ht="15.75" customHeight="1">
      <c r="A667" s="53"/>
      <c r="B667" s="65"/>
      <c r="C667" s="65"/>
      <c r="D667" s="65"/>
      <c r="E667" s="66"/>
      <c r="F667" s="65"/>
      <c r="G667" s="67"/>
      <c r="H667" s="65"/>
      <c r="I667" s="65"/>
      <c r="J667" s="68"/>
      <c r="K667" s="68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</row>
    <row r="668" spans="1:36" ht="15.75" customHeight="1">
      <c r="A668" s="53"/>
      <c r="B668" s="65"/>
      <c r="C668" s="65"/>
      <c r="D668" s="65"/>
      <c r="E668" s="66"/>
      <c r="F668" s="65"/>
      <c r="G668" s="67"/>
      <c r="H668" s="65"/>
      <c r="I668" s="65"/>
      <c r="J668" s="68"/>
      <c r="K668" s="68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</row>
    <row r="669" spans="1:36" ht="15.75" customHeight="1">
      <c r="A669" s="53"/>
      <c r="B669" s="65"/>
      <c r="C669" s="65"/>
      <c r="D669" s="65"/>
      <c r="E669" s="66"/>
      <c r="F669" s="65"/>
      <c r="G669" s="67"/>
      <c r="H669" s="65"/>
      <c r="I669" s="65"/>
      <c r="J669" s="68"/>
      <c r="K669" s="68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</row>
    <row r="670" spans="1:36" ht="15.75" customHeight="1">
      <c r="A670" s="53"/>
      <c r="B670" s="65"/>
      <c r="C670" s="65"/>
      <c r="D670" s="65"/>
      <c r="E670" s="66"/>
      <c r="F670" s="65"/>
      <c r="G670" s="67"/>
      <c r="H670" s="65"/>
      <c r="I670" s="65"/>
      <c r="J670" s="68"/>
      <c r="K670" s="68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</row>
    <row r="671" spans="1:36" ht="15.75" customHeight="1">
      <c r="A671" s="53"/>
      <c r="B671" s="65"/>
      <c r="C671" s="65"/>
      <c r="D671" s="65"/>
      <c r="E671" s="66"/>
      <c r="F671" s="65"/>
      <c r="G671" s="67"/>
      <c r="H671" s="65"/>
      <c r="I671" s="65"/>
      <c r="J671" s="68"/>
      <c r="K671" s="68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</row>
    <row r="672" spans="1:36" ht="15.75" customHeight="1">
      <c r="A672" s="53"/>
      <c r="B672" s="65"/>
      <c r="C672" s="65"/>
      <c r="D672" s="65"/>
      <c r="E672" s="66"/>
      <c r="F672" s="65"/>
      <c r="G672" s="67"/>
      <c r="H672" s="65"/>
      <c r="I672" s="65"/>
      <c r="J672" s="68"/>
      <c r="K672" s="68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</row>
    <row r="673" spans="1:36" ht="15.75" customHeight="1">
      <c r="A673" s="53"/>
      <c r="B673" s="65"/>
      <c r="C673" s="65"/>
      <c r="D673" s="65"/>
      <c r="E673" s="66"/>
      <c r="F673" s="65"/>
      <c r="G673" s="67"/>
      <c r="H673" s="65"/>
      <c r="I673" s="65"/>
      <c r="J673" s="68"/>
      <c r="K673" s="68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</row>
    <row r="674" spans="1:36" ht="15.75" customHeight="1">
      <c r="A674" s="53"/>
      <c r="B674" s="65"/>
      <c r="C674" s="65"/>
      <c r="D674" s="65"/>
      <c r="E674" s="66"/>
      <c r="F674" s="65"/>
      <c r="G674" s="67"/>
      <c r="H674" s="65"/>
      <c r="I674" s="65"/>
      <c r="J674" s="68"/>
      <c r="K674" s="68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</row>
    <row r="675" spans="1:36" ht="15.75" customHeight="1">
      <c r="A675" s="53"/>
      <c r="B675" s="65"/>
      <c r="C675" s="65"/>
      <c r="D675" s="65"/>
      <c r="E675" s="66"/>
      <c r="F675" s="65"/>
      <c r="G675" s="67"/>
      <c r="H675" s="65"/>
      <c r="I675" s="65"/>
      <c r="J675" s="68"/>
      <c r="K675" s="68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</row>
    <row r="676" spans="1:36" ht="15.75" customHeight="1">
      <c r="A676" s="53"/>
      <c r="B676" s="65"/>
      <c r="C676" s="65"/>
      <c r="D676" s="65"/>
      <c r="E676" s="66"/>
      <c r="F676" s="65"/>
      <c r="G676" s="67"/>
      <c r="H676" s="65"/>
      <c r="I676" s="65"/>
      <c r="J676" s="68"/>
      <c r="K676" s="68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</row>
    <row r="677" spans="1:36" ht="15.75" customHeight="1">
      <c r="A677" s="53"/>
      <c r="B677" s="65"/>
      <c r="C677" s="65"/>
      <c r="D677" s="65"/>
      <c r="E677" s="66"/>
      <c r="F677" s="65"/>
      <c r="G677" s="67"/>
      <c r="H677" s="65"/>
      <c r="I677" s="65"/>
      <c r="J677" s="68"/>
      <c r="K677" s="68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</row>
    <row r="678" spans="1:36" ht="15.75" customHeight="1">
      <c r="A678" s="53"/>
      <c r="B678" s="65"/>
      <c r="C678" s="65"/>
      <c r="D678" s="65"/>
      <c r="E678" s="66"/>
      <c r="F678" s="65"/>
      <c r="G678" s="67"/>
      <c r="H678" s="65"/>
      <c r="I678" s="65"/>
      <c r="J678" s="68"/>
      <c r="K678" s="68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</row>
    <row r="679" spans="1:36" ht="15.75" customHeight="1">
      <c r="A679" s="53"/>
      <c r="B679" s="65"/>
      <c r="C679" s="65"/>
      <c r="D679" s="65"/>
      <c r="E679" s="66"/>
      <c r="F679" s="65"/>
      <c r="G679" s="67"/>
      <c r="H679" s="65"/>
      <c r="I679" s="65"/>
      <c r="J679" s="68"/>
      <c r="K679" s="68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</row>
    <row r="680" spans="1:36" ht="15.75" customHeight="1">
      <c r="A680" s="53"/>
      <c r="B680" s="65"/>
      <c r="C680" s="65"/>
      <c r="D680" s="65"/>
      <c r="E680" s="66"/>
      <c r="F680" s="65"/>
      <c r="G680" s="67"/>
      <c r="H680" s="65"/>
      <c r="I680" s="65"/>
      <c r="J680" s="68"/>
      <c r="K680" s="68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</row>
    <row r="681" spans="1:36" ht="15.75" customHeight="1">
      <c r="A681" s="53"/>
      <c r="B681" s="65"/>
      <c r="C681" s="65"/>
      <c r="D681" s="65"/>
      <c r="E681" s="66"/>
      <c r="F681" s="65"/>
      <c r="G681" s="67"/>
      <c r="H681" s="65"/>
      <c r="I681" s="65"/>
      <c r="J681" s="68"/>
      <c r="K681" s="68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</row>
    <row r="682" spans="1:36" ht="15.75" customHeight="1">
      <c r="A682" s="53"/>
      <c r="B682" s="65"/>
      <c r="C682" s="65"/>
      <c r="D682" s="65"/>
      <c r="E682" s="66"/>
      <c r="F682" s="65"/>
      <c r="G682" s="67"/>
      <c r="H682" s="65"/>
      <c r="I682" s="65"/>
      <c r="J682" s="68"/>
      <c r="K682" s="68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</row>
    <row r="683" spans="1:36" ht="15.75" customHeight="1">
      <c r="A683" s="53"/>
      <c r="B683" s="65"/>
      <c r="C683" s="65"/>
      <c r="D683" s="65"/>
      <c r="E683" s="66"/>
      <c r="F683" s="65"/>
      <c r="G683" s="67"/>
      <c r="H683" s="65"/>
      <c r="I683" s="65"/>
      <c r="J683" s="68"/>
      <c r="K683" s="68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</row>
    <row r="684" spans="1:36" ht="15.75" customHeight="1">
      <c r="A684" s="53"/>
      <c r="B684" s="65"/>
      <c r="C684" s="65"/>
      <c r="D684" s="65"/>
      <c r="E684" s="66"/>
      <c r="F684" s="65"/>
      <c r="G684" s="67"/>
      <c r="H684" s="65"/>
      <c r="I684" s="65"/>
      <c r="J684" s="68"/>
      <c r="K684" s="68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</row>
    <row r="685" spans="1:36" ht="15.75" customHeight="1">
      <c r="A685" s="53"/>
      <c r="B685" s="65"/>
      <c r="C685" s="65"/>
      <c r="D685" s="65"/>
      <c r="E685" s="66"/>
      <c r="F685" s="65"/>
      <c r="G685" s="67"/>
      <c r="H685" s="65"/>
      <c r="I685" s="65"/>
      <c r="J685" s="68"/>
      <c r="K685" s="68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</row>
    <row r="686" spans="1:36" ht="15.75" customHeight="1">
      <c r="A686" s="53"/>
      <c r="B686" s="65"/>
      <c r="C686" s="65"/>
      <c r="D686" s="65"/>
      <c r="E686" s="66"/>
      <c r="F686" s="65"/>
      <c r="G686" s="67"/>
      <c r="H686" s="65"/>
      <c r="I686" s="65"/>
      <c r="J686" s="68"/>
      <c r="K686" s="68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</row>
    <row r="687" spans="1:36" ht="15.75" customHeight="1">
      <c r="A687" s="53"/>
      <c r="B687" s="65"/>
      <c r="C687" s="65"/>
      <c r="D687" s="65"/>
      <c r="E687" s="66"/>
      <c r="F687" s="65"/>
      <c r="G687" s="67"/>
      <c r="H687" s="65"/>
      <c r="I687" s="65"/>
      <c r="J687" s="68"/>
      <c r="K687" s="68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</row>
    <row r="688" spans="1:36" ht="15.75" customHeight="1">
      <c r="A688" s="53"/>
      <c r="B688" s="65"/>
      <c r="C688" s="65"/>
      <c r="D688" s="65"/>
      <c r="E688" s="66"/>
      <c r="F688" s="65"/>
      <c r="G688" s="67"/>
      <c r="H688" s="65"/>
      <c r="I688" s="65"/>
      <c r="J688" s="68"/>
      <c r="K688" s="68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</row>
    <row r="689" spans="1:36" ht="15.75" customHeight="1">
      <c r="A689" s="53"/>
      <c r="B689" s="65"/>
      <c r="C689" s="65"/>
      <c r="D689" s="65"/>
      <c r="E689" s="66"/>
      <c r="F689" s="65"/>
      <c r="G689" s="67"/>
      <c r="H689" s="65"/>
      <c r="I689" s="65"/>
      <c r="J689" s="68"/>
      <c r="K689" s="68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</row>
    <row r="690" spans="1:36" ht="15.75" customHeight="1">
      <c r="A690" s="53"/>
      <c r="B690" s="65"/>
      <c r="C690" s="65"/>
      <c r="D690" s="65"/>
      <c r="E690" s="66"/>
      <c r="F690" s="65"/>
      <c r="G690" s="67"/>
      <c r="H690" s="65"/>
      <c r="I690" s="65"/>
      <c r="J690" s="68"/>
      <c r="K690" s="68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</row>
    <row r="691" spans="1:36" ht="15.75" customHeight="1">
      <c r="A691" s="53"/>
      <c r="B691" s="65"/>
      <c r="C691" s="65"/>
      <c r="D691" s="65"/>
      <c r="E691" s="66"/>
      <c r="F691" s="65"/>
      <c r="G691" s="67"/>
      <c r="H691" s="65"/>
      <c r="I691" s="65"/>
      <c r="J691" s="68"/>
      <c r="K691" s="68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</row>
    <row r="692" spans="1:36" ht="15.75" customHeight="1">
      <c r="A692" s="53"/>
      <c r="B692" s="65"/>
      <c r="C692" s="65"/>
      <c r="D692" s="65"/>
      <c r="E692" s="66"/>
      <c r="F692" s="65"/>
      <c r="G692" s="67"/>
      <c r="H692" s="65"/>
      <c r="I692" s="65"/>
      <c r="J692" s="68"/>
      <c r="K692" s="68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</row>
    <row r="693" spans="1:36" ht="15.75" customHeight="1">
      <c r="A693" s="53"/>
      <c r="B693" s="65"/>
      <c r="C693" s="65"/>
      <c r="D693" s="65"/>
      <c r="E693" s="66"/>
      <c r="F693" s="65"/>
      <c r="G693" s="67"/>
      <c r="H693" s="65"/>
      <c r="I693" s="65"/>
      <c r="J693" s="68"/>
      <c r="K693" s="68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</row>
    <row r="694" spans="1:36" ht="15.75" customHeight="1">
      <c r="A694" s="53"/>
      <c r="B694" s="65"/>
      <c r="C694" s="65"/>
      <c r="D694" s="65"/>
      <c r="E694" s="66"/>
      <c r="F694" s="65"/>
      <c r="G694" s="67"/>
      <c r="H694" s="65"/>
      <c r="I694" s="65"/>
      <c r="J694" s="68"/>
      <c r="K694" s="68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</row>
    <row r="695" spans="1:36" ht="15.75" customHeight="1">
      <c r="A695" s="53"/>
      <c r="B695" s="65"/>
      <c r="C695" s="65"/>
      <c r="D695" s="65"/>
      <c r="E695" s="66"/>
      <c r="F695" s="65"/>
      <c r="G695" s="67"/>
      <c r="H695" s="65"/>
      <c r="I695" s="65"/>
      <c r="J695" s="68"/>
      <c r="K695" s="68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</row>
    <row r="696" spans="1:36" ht="15.75" customHeight="1">
      <c r="A696" s="53"/>
      <c r="B696" s="65"/>
      <c r="C696" s="65"/>
      <c r="D696" s="65"/>
      <c r="E696" s="66"/>
      <c r="F696" s="65"/>
      <c r="G696" s="67"/>
      <c r="H696" s="65"/>
      <c r="I696" s="65"/>
      <c r="J696" s="68"/>
      <c r="K696" s="68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</row>
    <row r="697" spans="1:36" ht="15.75" customHeight="1">
      <c r="A697" s="53"/>
      <c r="B697" s="65"/>
      <c r="C697" s="65"/>
      <c r="D697" s="65"/>
      <c r="E697" s="66"/>
      <c r="F697" s="65"/>
      <c r="G697" s="67"/>
      <c r="H697" s="65"/>
      <c r="I697" s="65"/>
      <c r="J697" s="68"/>
      <c r="K697" s="68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</row>
    <row r="698" spans="1:36" ht="15.75" customHeight="1">
      <c r="A698" s="53"/>
      <c r="B698" s="65"/>
      <c r="C698" s="65"/>
      <c r="D698" s="65"/>
      <c r="E698" s="66"/>
      <c r="F698" s="65"/>
      <c r="G698" s="67"/>
      <c r="H698" s="65"/>
      <c r="I698" s="65"/>
      <c r="J698" s="68"/>
      <c r="K698" s="68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</row>
    <row r="699" spans="1:36" ht="15.75" customHeight="1">
      <c r="A699" s="53"/>
      <c r="B699" s="65"/>
      <c r="C699" s="65"/>
      <c r="D699" s="65"/>
      <c r="E699" s="66"/>
      <c r="F699" s="65"/>
      <c r="G699" s="67"/>
      <c r="H699" s="65"/>
      <c r="I699" s="65"/>
      <c r="J699" s="68"/>
      <c r="K699" s="68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</row>
    <row r="700" spans="1:36" ht="15.75" customHeight="1">
      <c r="A700" s="53"/>
      <c r="B700" s="65"/>
      <c r="C700" s="65"/>
      <c r="D700" s="65"/>
      <c r="E700" s="66"/>
      <c r="F700" s="65"/>
      <c r="G700" s="67"/>
      <c r="H700" s="65"/>
      <c r="I700" s="65"/>
      <c r="J700" s="68"/>
      <c r="K700" s="68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</row>
    <row r="701" spans="1:36" ht="15.75" customHeight="1">
      <c r="A701" s="53"/>
      <c r="B701" s="65"/>
      <c r="C701" s="65"/>
      <c r="D701" s="65"/>
      <c r="E701" s="66"/>
      <c r="F701" s="65"/>
      <c r="G701" s="67"/>
      <c r="H701" s="65"/>
      <c r="I701" s="65"/>
      <c r="J701" s="68"/>
      <c r="K701" s="68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</row>
    <row r="702" spans="1:36" ht="15.75" customHeight="1">
      <c r="A702" s="53"/>
      <c r="B702" s="65"/>
      <c r="C702" s="65"/>
      <c r="D702" s="65"/>
      <c r="E702" s="66"/>
      <c r="F702" s="65"/>
      <c r="G702" s="67"/>
      <c r="H702" s="65"/>
      <c r="I702" s="65"/>
      <c r="J702" s="68"/>
      <c r="K702" s="68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</row>
    <row r="703" spans="1:36" ht="15.75" customHeight="1">
      <c r="A703" s="53"/>
      <c r="B703" s="65"/>
      <c r="C703" s="65"/>
      <c r="D703" s="65"/>
      <c r="E703" s="66"/>
      <c r="F703" s="65"/>
      <c r="G703" s="67"/>
      <c r="H703" s="65"/>
      <c r="I703" s="65"/>
      <c r="J703" s="68"/>
      <c r="K703" s="68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</row>
    <row r="704" spans="1:36" ht="15.75" customHeight="1">
      <c r="A704" s="53"/>
      <c r="B704" s="65"/>
      <c r="C704" s="65"/>
      <c r="D704" s="65"/>
      <c r="E704" s="66"/>
      <c r="F704" s="65"/>
      <c r="G704" s="67"/>
      <c r="H704" s="65"/>
      <c r="I704" s="65"/>
      <c r="J704" s="68"/>
      <c r="K704" s="68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</row>
    <row r="705" spans="1:36" ht="15.75" customHeight="1">
      <c r="A705" s="53"/>
      <c r="B705" s="65"/>
      <c r="C705" s="65"/>
      <c r="D705" s="65"/>
      <c r="E705" s="66"/>
      <c r="F705" s="65"/>
      <c r="G705" s="67"/>
      <c r="H705" s="65"/>
      <c r="I705" s="65"/>
      <c r="J705" s="68"/>
      <c r="K705" s="68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</row>
    <row r="706" spans="1:36" ht="15.75" customHeight="1">
      <c r="A706" s="53"/>
      <c r="B706" s="65"/>
      <c r="C706" s="65"/>
      <c r="D706" s="65"/>
      <c r="E706" s="66"/>
      <c r="F706" s="65"/>
      <c r="G706" s="67"/>
      <c r="H706" s="65"/>
      <c r="I706" s="65"/>
      <c r="J706" s="68"/>
      <c r="K706" s="68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</row>
    <row r="707" spans="1:36" ht="15.75" customHeight="1">
      <c r="A707" s="53"/>
      <c r="B707" s="65"/>
      <c r="C707" s="65"/>
      <c r="D707" s="65"/>
      <c r="E707" s="66"/>
      <c r="F707" s="65"/>
      <c r="G707" s="67"/>
      <c r="H707" s="65"/>
      <c r="I707" s="65"/>
      <c r="J707" s="68"/>
      <c r="K707" s="68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</row>
    <row r="708" spans="1:36" ht="15.75" customHeight="1">
      <c r="A708" s="53"/>
      <c r="B708" s="65"/>
      <c r="C708" s="65"/>
      <c r="D708" s="65"/>
      <c r="E708" s="66"/>
      <c r="F708" s="65"/>
      <c r="G708" s="67"/>
      <c r="H708" s="65"/>
      <c r="I708" s="65"/>
      <c r="J708" s="68"/>
      <c r="K708" s="68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</row>
    <row r="709" spans="1:36" ht="15.75" customHeight="1">
      <c r="A709" s="53"/>
      <c r="B709" s="65"/>
      <c r="C709" s="65"/>
      <c r="D709" s="65"/>
      <c r="E709" s="66"/>
      <c r="F709" s="65"/>
      <c r="G709" s="67"/>
      <c r="H709" s="65"/>
      <c r="I709" s="65"/>
      <c r="J709" s="68"/>
      <c r="K709" s="68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</row>
    <row r="710" spans="1:36" ht="15.75" customHeight="1">
      <c r="A710" s="53"/>
      <c r="B710" s="65"/>
      <c r="C710" s="65"/>
      <c r="D710" s="65"/>
      <c r="E710" s="66"/>
      <c r="F710" s="65"/>
      <c r="G710" s="67"/>
      <c r="H710" s="65"/>
      <c r="I710" s="65"/>
      <c r="J710" s="68"/>
      <c r="K710" s="68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</row>
    <row r="711" spans="1:36" ht="15.75" customHeight="1">
      <c r="A711" s="53"/>
      <c r="B711" s="65"/>
      <c r="C711" s="65"/>
      <c r="D711" s="65"/>
      <c r="E711" s="66"/>
      <c r="F711" s="65"/>
      <c r="G711" s="67"/>
      <c r="H711" s="65"/>
      <c r="I711" s="65"/>
      <c r="J711" s="68"/>
      <c r="K711" s="68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</row>
    <row r="712" spans="1:36" ht="15.75" customHeight="1">
      <c r="A712" s="53"/>
      <c r="B712" s="65"/>
      <c r="C712" s="65"/>
      <c r="D712" s="65"/>
      <c r="E712" s="66"/>
      <c r="F712" s="65"/>
      <c r="G712" s="67"/>
      <c r="H712" s="65"/>
      <c r="I712" s="65"/>
      <c r="J712" s="68"/>
      <c r="K712" s="68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</row>
    <row r="713" spans="1:36" ht="15.75" customHeight="1">
      <c r="A713" s="53"/>
      <c r="B713" s="65"/>
      <c r="C713" s="65"/>
      <c r="D713" s="65"/>
      <c r="E713" s="66"/>
      <c r="F713" s="65"/>
      <c r="G713" s="67"/>
      <c r="H713" s="65"/>
      <c r="I713" s="65"/>
      <c r="J713" s="68"/>
      <c r="K713" s="68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</row>
    <row r="714" spans="1:36" ht="15.75" customHeight="1">
      <c r="A714" s="53"/>
      <c r="B714" s="65"/>
      <c r="C714" s="65"/>
      <c r="D714" s="65"/>
      <c r="E714" s="66"/>
      <c r="F714" s="65"/>
      <c r="G714" s="67"/>
      <c r="H714" s="65"/>
      <c r="I714" s="65"/>
      <c r="J714" s="68"/>
      <c r="K714" s="68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</row>
    <row r="715" spans="1:36" ht="15.75" customHeight="1">
      <c r="A715" s="53"/>
      <c r="B715" s="65"/>
      <c r="C715" s="65"/>
      <c r="D715" s="65"/>
      <c r="E715" s="66"/>
      <c r="F715" s="65"/>
      <c r="G715" s="67"/>
      <c r="H715" s="65"/>
      <c r="I715" s="65"/>
      <c r="J715" s="68"/>
      <c r="K715" s="68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</row>
    <row r="716" spans="1:36" ht="15.75" customHeight="1">
      <c r="A716" s="53"/>
      <c r="B716" s="65"/>
      <c r="C716" s="65"/>
      <c r="D716" s="65"/>
      <c r="E716" s="66"/>
      <c r="F716" s="65"/>
      <c r="G716" s="67"/>
      <c r="H716" s="65"/>
      <c r="I716" s="65"/>
      <c r="J716" s="68"/>
      <c r="K716" s="68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</row>
    <row r="717" spans="1:36" ht="15.75" customHeight="1">
      <c r="A717" s="53"/>
      <c r="B717" s="65"/>
      <c r="C717" s="65"/>
      <c r="D717" s="65"/>
      <c r="E717" s="66"/>
      <c r="F717" s="65"/>
      <c r="G717" s="67"/>
      <c r="H717" s="65"/>
      <c r="I717" s="65"/>
      <c r="J717" s="68"/>
      <c r="K717" s="68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</row>
    <row r="718" spans="1:36" ht="15.75" customHeight="1">
      <c r="A718" s="53"/>
      <c r="B718" s="65"/>
      <c r="C718" s="65"/>
      <c r="D718" s="65"/>
      <c r="E718" s="66"/>
      <c r="F718" s="65"/>
      <c r="G718" s="67"/>
      <c r="H718" s="65"/>
      <c r="I718" s="65"/>
      <c r="J718" s="68"/>
      <c r="K718" s="68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</row>
    <row r="719" spans="1:36" ht="15.75" customHeight="1">
      <c r="A719" s="53"/>
      <c r="B719" s="65"/>
      <c r="C719" s="65"/>
      <c r="D719" s="65"/>
      <c r="E719" s="66"/>
      <c r="F719" s="65"/>
      <c r="G719" s="67"/>
      <c r="H719" s="65"/>
      <c r="I719" s="65"/>
      <c r="J719" s="68"/>
      <c r="K719" s="68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</row>
    <row r="720" spans="1:36" ht="15.75" customHeight="1">
      <c r="A720" s="53"/>
      <c r="B720" s="65"/>
      <c r="C720" s="65"/>
      <c r="D720" s="65"/>
      <c r="E720" s="66"/>
      <c r="F720" s="65"/>
      <c r="G720" s="67"/>
      <c r="H720" s="65"/>
      <c r="I720" s="65"/>
      <c r="J720" s="68"/>
      <c r="K720" s="68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</row>
    <row r="721" spans="1:36" ht="15.75" customHeight="1">
      <c r="A721" s="53"/>
      <c r="B721" s="65"/>
      <c r="C721" s="65"/>
      <c r="D721" s="65"/>
      <c r="E721" s="66"/>
      <c r="F721" s="65"/>
      <c r="G721" s="67"/>
      <c r="H721" s="65"/>
      <c r="I721" s="65"/>
      <c r="J721" s="68"/>
      <c r="K721" s="68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</row>
    <row r="722" spans="1:36" ht="15.75" customHeight="1">
      <c r="A722" s="53"/>
      <c r="B722" s="65"/>
      <c r="C722" s="65"/>
      <c r="D722" s="65"/>
      <c r="E722" s="66"/>
      <c r="F722" s="65"/>
      <c r="G722" s="67"/>
      <c r="H722" s="65"/>
      <c r="I722" s="65"/>
      <c r="J722" s="68"/>
      <c r="K722" s="68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</row>
    <row r="723" spans="1:36" ht="15.75" customHeight="1">
      <c r="A723" s="53"/>
      <c r="B723" s="65"/>
      <c r="C723" s="65"/>
      <c r="D723" s="65"/>
      <c r="E723" s="66"/>
      <c r="F723" s="65"/>
      <c r="G723" s="67"/>
      <c r="H723" s="65"/>
      <c r="I723" s="65"/>
      <c r="J723" s="68"/>
      <c r="K723" s="68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</row>
    <row r="724" spans="1:36" ht="15.75" customHeight="1">
      <c r="A724" s="53"/>
      <c r="B724" s="65"/>
      <c r="C724" s="65"/>
      <c r="D724" s="65"/>
      <c r="E724" s="66"/>
      <c r="F724" s="65"/>
      <c r="G724" s="67"/>
      <c r="H724" s="65"/>
      <c r="I724" s="65"/>
      <c r="J724" s="68"/>
      <c r="K724" s="68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</row>
    <row r="725" spans="1:36" ht="15.75" customHeight="1">
      <c r="A725" s="53"/>
      <c r="B725" s="65"/>
      <c r="C725" s="65"/>
      <c r="D725" s="65"/>
      <c r="E725" s="66"/>
      <c r="F725" s="65"/>
      <c r="G725" s="67"/>
      <c r="H725" s="65"/>
      <c r="I725" s="65"/>
      <c r="J725" s="68"/>
      <c r="K725" s="68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</row>
    <row r="726" spans="1:36" ht="15.75" customHeight="1">
      <c r="A726" s="53"/>
      <c r="B726" s="65"/>
      <c r="C726" s="65"/>
      <c r="D726" s="65"/>
      <c r="E726" s="66"/>
      <c r="F726" s="65"/>
      <c r="G726" s="67"/>
      <c r="H726" s="65"/>
      <c r="I726" s="65"/>
      <c r="J726" s="68"/>
      <c r="K726" s="68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</row>
    <row r="727" spans="1:36" ht="15.75" customHeight="1">
      <c r="A727" s="53"/>
      <c r="B727" s="65"/>
      <c r="C727" s="65"/>
      <c r="D727" s="65"/>
      <c r="E727" s="66"/>
      <c r="F727" s="65"/>
      <c r="G727" s="67"/>
      <c r="H727" s="65"/>
      <c r="I727" s="65"/>
      <c r="J727" s="68"/>
      <c r="K727" s="68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</row>
    <row r="728" spans="1:36" ht="15.75" customHeight="1">
      <c r="A728" s="53"/>
      <c r="B728" s="65"/>
      <c r="C728" s="65"/>
      <c r="D728" s="65"/>
      <c r="E728" s="66"/>
      <c r="F728" s="65"/>
      <c r="G728" s="67"/>
      <c r="H728" s="65"/>
      <c r="I728" s="65"/>
      <c r="J728" s="68"/>
      <c r="K728" s="68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</row>
    <row r="729" spans="1:36" ht="15.75" customHeight="1">
      <c r="A729" s="53"/>
      <c r="B729" s="65"/>
      <c r="C729" s="65"/>
      <c r="D729" s="65"/>
      <c r="E729" s="66"/>
      <c r="F729" s="65"/>
      <c r="G729" s="67"/>
      <c r="H729" s="65"/>
      <c r="I729" s="65"/>
      <c r="J729" s="68"/>
      <c r="K729" s="68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</row>
    <row r="730" spans="1:36" ht="15.75" customHeight="1">
      <c r="A730" s="53"/>
      <c r="B730" s="65"/>
      <c r="C730" s="65"/>
      <c r="D730" s="65"/>
      <c r="E730" s="66"/>
      <c r="F730" s="65"/>
      <c r="G730" s="67"/>
      <c r="H730" s="65"/>
      <c r="I730" s="65"/>
      <c r="J730" s="68"/>
      <c r="K730" s="68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</row>
    <row r="731" spans="1:36" ht="15.75" customHeight="1">
      <c r="A731" s="53"/>
      <c r="B731" s="65"/>
      <c r="C731" s="65"/>
      <c r="D731" s="65"/>
      <c r="E731" s="66"/>
      <c r="F731" s="65"/>
      <c r="G731" s="67"/>
      <c r="H731" s="65"/>
      <c r="I731" s="65"/>
      <c r="J731" s="68"/>
      <c r="K731" s="68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</row>
    <row r="732" spans="1:36" ht="15.75" customHeight="1">
      <c r="A732" s="53"/>
      <c r="B732" s="65"/>
      <c r="C732" s="65"/>
      <c r="D732" s="65"/>
      <c r="E732" s="66"/>
      <c r="F732" s="65"/>
      <c r="G732" s="67"/>
      <c r="H732" s="65"/>
      <c r="I732" s="65"/>
      <c r="J732" s="68"/>
      <c r="K732" s="68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</row>
    <row r="733" spans="1:36" ht="15.75" customHeight="1">
      <c r="A733" s="53"/>
      <c r="B733" s="65"/>
      <c r="C733" s="65"/>
      <c r="D733" s="65"/>
      <c r="E733" s="66"/>
      <c r="F733" s="65"/>
      <c r="G733" s="67"/>
      <c r="H733" s="65"/>
      <c r="I733" s="65"/>
      <c r="J733" s="68"/>
      <c r="K733" s="68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</row>
    <row r="734" spans="1:36" ht="15.75" customHeight="1">
      <c r="A734" s="53"/>
      <c r="B734" s="65"/>
      <c r="C734" s="65"/>
      <c r="D734" s="65"/>
      <c r="E734" s="66"/>
      <c r="F734" s="65"/>
      <c r="G734" s="67"/>
      <c r="H734" s="65"/>
      <c r="I734" s="65"/>
      <c r="J734" s="68"/>
      <c r="K734" s="68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</row>
    <row r="735" spans="1:36" ht="15.75" customHeight="1">
      <c r="A735" s="53"/>
      <c r="B735" s="65"/>
      <c r="C735" s="65"/>
      <c r="D735" s="65"/>
      <c r="E735" s="66"/>
      <c r="F735" s="65"/>
      <c r="G735" s="67"/>
      <c r="H735" s="65"/>
      <c r="I735" s="65"/>
      <c r="J735" s="68"/>
      <c r="K735" s="68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</row>
    <row r="736" spans="1:36" ht="15.75" customHeight="1">
      <c r="A736" s="53"/>
      <c r="B736" s="65"/>
      <c r="C736" s="65"/>
      <c r="D736" s="65"/>
      <c r="E736" s="66"/>
      <c r="F736" s="65"/>
      <c r="G736" s="67"/>
      <c r="H736" s="65"/>
      <c r="I736" s="65"/>
      <c r="J736" s="68"/>
      <c r="K736" s="68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</row>
    <row r="737" spans="1:36" ht="15.75" customHeight="1">
      <c r="A737" s="53"/>
      <c r="B737" s="65"/>
      <c r="C737" s="65"/>
      <c r="D737" s="65"/>
      <c r="E737" s="66"/>
      <c r="F737" s="65"/>
      <c r="G737" s="67"/>
      <c r="H737" s="65"/>
      <c r="I737" s="65"/>
      <c r="J737" s="68"/>
      <c r="K737" s="68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</row>
    <row r="738" spans="1:36" ht="15.75" customHeight="1">
      <c r="A738" s="53"/>
      <c r="B738" s="65"/>
      <c r="C738" s="65"/>
      <c r="D738" s="65"/>
      <c r="E738" s="66"/>
      <c r="F738" s="65"/>
      <c r="G738" s="67"/>
      <c r="H738" s="65"/>
      <c r="I738" s="65"/>
      <c r="J738" s="68"/>
      <c r="K738" s="68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</row>
    <row r="739" spans="1:36" ht="15.75" customHeight="1">
      <c r="A739" s="53"/>
      <c r="B739" s="65"/>
      <c r="C739" s="65"/>
      <c r="D739" s="65"/>
      <c r="E739" s="66"/>
      <c r="F739" s="65"/>
      <c r="G739" s="67"/>
      <c r="H739" s="65"/>
      <c r="I739" s="65"/>
      <c r="J739" s="68"/>
      <c r="K739" s="68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</row>
    <row r="740" spans="1:36" ht="15.75" customHeight="1">
      <c r="A740" s="53"/>
      <c r="B740" s="65"/>
      <c r="C740" s="65"/>
      <c r="D740" s="65"/>
      <c r="E740" s="66"/>
      <c r="F740" s="65"/>
      <c r="G740" s="67"/>
      <c r="H740" s="65"/>
      <c r="I740" s="65"/>
      <c r="J740" s="68"/>
      <c r="K740" s="68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</row>
    <row r="741" spans="1:36" ht="15.75" customHeight="1">
      <c r="A741" s="53"/>
      <c r="B741" s="65"/>
      <c r="C741" s="65"/>
      <c r="D741" s="65"/>
      <c r="E741" s="66"/>
      <c r="F741" s="65"/>
      <c r="G741" s="67"/>
      <c r="H741" s="65"/>
      <c r="I741" s="65"/>
      <c r="J741" s="68"/>
      <c r="K741" s="68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</row>
    <row r="742" spans="1:36" ht="15.75" customHeight="1">
      <c r="A742" s="53"/>
      <c r="B742" s="65"/>
      <c r="C742" s="65"/>
      <c r="D742" s="65"/>
      <c r="E742" s="66"/>
      <c r="F742" s="65"/>
      <c r="G742" s="67"/>
      <c r="H742" s="65"/>
      <c r="I742" s="65"/>
      <c r="J742" s="68"/>
      <c r="K742" s="68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</row>
    <row r="743" spans="1:36" ht="15.75" customHeight="1">
      <c r="A743" s="53"/>
      <c r="B743" s="65"/>
      <c r="C743" s="65"/>
      <c r="D743" s="65"/>
      <c r="E743" s="66"/>
      <c r="F743" s="65"/>
      <c r="G743" s="67"/>
      <c r="H743" s="65"/>
      <c r="I743" s="65"/>
      <c r="J743" s="68"/>
      <c r="K743" s="68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5"/>
    </row>
    <row r="744" spans="1:36" ht="15.75" customHeight="1">
      <c r="A744" s="53"/>
      <c r="B744" s="65"/>
      <c r="C744" s="65"/>
      <c r="D744" s="65"/>
      <c r="E744" s="66"/>
      <c r="F744" s="65"/>
      <c r="G744" s="67"/>
      <c r="H744" s="65"/>
      <c r="I744" s="65"/>
      <c r="J744" s="68"/>
      <c r="K744" s="68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5"/>
    </row>
    <row r="745" spans="1:36" ht="15.75" customHeight="1">
      <c r="A745" s="53"/>
      <c r="B745" s="65"/>
      <c r="C745" s="65"/>
      <c r="D745" s="65"/>
      <c r="E745" s="66"/>
      <c r="F745" s="65"/>
      <c r="G745" s="67"/>
      <c r="H745" s="65"/>
      <c r="I745" s="65"/>
      <c r="J745" s="68"/>
      <c r="K745" s="68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5"/>
    </row>
    <row r="746" spans="1:36" ht="15.75" customHeight="1">
      <c r="A746" s="53"/>
      <c r="B746" s="65"/>
      <c r="C746" s="65"/>
      <c r="D746" s="65"/>
      <c r="E746" s="66"/>
      <c r="F746" s="65"/>
      <c r="G746" s="67"/>
      <c r="H746" s="65"/>
      <c r="I746" s="65"/>
      <c r="J746" s="68"/>
      <c r="K746" s="68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5"/>
    </row>
    <row r="747" spans="1:36" ht="15.75" customHeight="1">
      <c r="A747" s="53"/>
      <c r="B747" s="65"/>
      <c r="C747" s="65"/>
      <c r="D747" s="65"/>
      <c r="E747" s="66"/>
      <c r="F747" s="65"/>
      <c r="G747" s="67"/>
      <c r="H747" s="65"/>
      <c r="I747" s="65"/>
      <c r="J747" s="68"/>
      <c r="K747" s="68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5"/>
    </row>
    <row r="748" spans="1:36" ht="15.75" customHeight="1">
      <c r="A748" s="53"/>
      <c r="B748" s="65"/>
      <c r="C748" s="65"/>
      <c r="D748" s="65"/>
      <c r="E748" s="66"/>
      <c r="F748" s="65"/>
      <c r="G748" s="67"/>
      <c r="H748" s="65"/>
      <c r="I748" s="65"/>
      <c r="J748" s="68"/>
      <c r="K748" s="68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5"/>
    </row>
    <row r="749" spans="1:36" ht="15.75" customHeight="1">
      <c r="A749" s="53"/>
      <c r="B749" s="65"/>
      <c r="C749" s="65"/>
      <c r="D749" s="65"/>
      <c r="E749" s="66"/>
      <c r="F749" s="65"/>
      <c r="G749" s="67"/>
      <c r="H749" s="65"/>
      <c r="I749" s="65"/>
      <c r="J749" s="68"/>
      <c r="K749" s="68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5"/>
    </row>
    <row r="750" spans="1:36" ht="15.75" customHeight="1">
      <c r="A750" s="53"/>
      <c r="B750" s="65"/>
      <c r="C750" s="65"/>
      <c r="D750" s="65"/>
      <c r="E750" s="66"/>
      <c r="F750" s="65"/>
      <c r="G750" s="67"/>
      <c r="H750" s="65"/>
      <c r="I750" s="65"/>
      <c r="J750" s="68"/>
      <c r="K750" s="68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</row>
    <row r="751" spans="1:36" ht="15.75" customHeight="1">
      <c r="A751" s="53"/>
      <c r="B751" s="65"/>
      <c r="C751" s="65"/>
      <c r="D751" s="65"/>
      <c r="E751" s="66"/>
      <c r="F751" s="65"/>
      <c r="G751" s="67"/>
      <c r="H751" s="65"/>
      <c r="I751" s="65"/>
      <c r="J751" s="68"/>
      <c r="K751" s="68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</row>
    <row r="752" spans="1:36" ht="15.75" customHeight="1">
      <c r="A752" s="53"/>
      <c r="B752" s="65"/>
      <c r="C752" s="65"/>
      <c r="D752" s="65"/>
      <c r="E752" s="66"/>
      <c r="F752" s="65"/>
      <c r="G752" s="67"/>
      <c r="H752" s="65"/>
      <c r="I752" s="65"/>
      <c r="J752" s="68"/>
      <c r="K752" s="68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</row>
    <row r="753" spans="1:36" ht="15.75" customHeight="1">
      <c r="A753" s="53"/>
      <c r="B753" s="65"/>
      <c r="C753" s="65"/>
      <c r="D753" s="65"/>
      <c r="E753" s="66"/>
      <c r="F753" s="65"/>
      <c r="G753" s="67"/>
      <c r="H753" s="65"/>
      <c r="I753" s="65"/>
      <c r="J753" s="68"/>
      <c r="K753" s="68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5"/>
    </row>
    <row r="754" spans="1:36" ht="15.75" customHeight="1">
      <c r="A754" s="53"/>
      <c r="B754" s="65"/>
      <c r="C754" s="65"/>
      <c r="D754" s="65"/>
      <c r="E754" s="66"/>
      <c r="F754" s="65"/>
      <c r="G754" s="67"/>
      <c r="H754" s="65"/>
      <c r="I754" s="65"/>
      <c r="J754" s="68"/>
      <c r="K754" s="68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</row>
    <row r="755" spans="1:36" ht="15.75" customHeight="1">
      <c r="A755" s="53"/>
      <c r="B755" s="65"/>
      <c r="C755" s="65"/>
      <c r="D755" s="65"/>
      <c r="E755" s="66"/>
      <c r="F755" s="65"/>
      <c r="G755" s="67"/>
      <c r="H755" s="65"/>
      <c r="I755" s="65"/>
      <c r="J755" s="68"/>
      <c r="K755" s="68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5"/>
    </row>
    <row r="756" spans="1:36" ht="15.75" customHeight="1">
      <c r="A756" s="53"/>
      <c r="B756" s="65"/>
      <c r="C756" s="65"/>
      <c r="D756" s="65"/>
      <c r="E756" s="66"/>
      <c r="F756" s="65"/>
      <c r="G756" s="67"/>
      <c r="H756" s="65"/>
      <c r="I756" s="65"/>
      <c r="J756" s="68"/>
      <c r="K756" s="68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5"/>
    </row>
    <row r="757" spans="1:36" ht="15.75" customHeight="1">
      <c r="A757" s="53"/>
      <c r="B757" s="65"/>
      <c r="C757" s="65"/>
      <c r="D757" s="65"/>
      <c r="E757" s="66"/>
      <c r="F757" s="65"/>
      <c r="G757" s="67"/>
      <c r="H757" s="65"/>
      <c r="I757" s="65"/>
      <c r="J757" s="68"/>
      <c r="K757" s="68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5"/>
    </row>
    <row r="758" spans="1:36" ht="15.75" customHeight="1">
      <c r="A758" s="53"/>
      <c r="B758" s="65"/>
      <c r="C758" s="65"/>
      <c r="D758" s="65"/>
      <c r="E758" s="66"/>
      <c r="F758" s="65"/>
      <c r="G758" s="67"/>
      <c r="H758" s="65"/>
      <c r="I758" s="65"/>
      <c r="J758" s="68"/>
      <c r="K758" s="68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5"/>
    </row>
    <row r="759" spans="1:36" ht="15.75" customHeight="1">
      <c r="A759" s="53"/>
      <c r="B759" s="65"/>
      <c r="C759" s="65"/>
      <c r="D759" s="65"/>
      <c r="E759" s="66"/>
      <c r="F759" s="65"/>
      <c r="G759" s="67"/>
      <c r="H759" s="65"/>
      <c r="I759" s="65"/>
      <c r="J759" s="68"/>
      <c r="K759" s="68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</row>
    <row r="760" spans="1:36" ht="15.75" customHeight="1">
      <c r="A760" s="53"/>
      <c r="B760" s="65"/>
      <c r="C760" s="65"/>
      <c r="D760" s="65"/>
      <c r="E760" s="66"/>
      <c r="F760" s="65"/>
      <c r="G760" s="67"/>
      <c r="H760" s="65"/>
      <c r="I760" s="65"/>
      <c r="J760" s="68"/>
      <c r="K760" s="68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5"/>
    </row>
    <row r="761" spans="1:36" ht="15.75" customHeight="1">
      <c r="A761" s="53"/>
      <c r="B761" s="65"/>
      <c r="C761" s="65"/>
      <c r="D761" s="65"/>
      <c r="E761" s="66"/>
      <c r="F761" s="65"/>
      <c r="G761" s="67"/>
      <c r="H761" s="65"/>
      <c r="I761" s="65"/>
      <c r="J761" s="68"/>
      <c r="K761" s="68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5"/>
    </row>
    <row r="762" spans="1:36" ht="15.75" customHeight="1">
      <c r="A762" s="53"/>
      <c r="B762" s="65"/>
      <c r="C762" s="65"/>
      <c r="D762" s="65"/>
      <c r="E762" s="66"/>
      <c r="F762" s="65"/>
      <c r="G762" s="67"/>
      <c r="H762" s="65"/>
      <c r="I762" s="65"/>
      <c r="J762" s="68"/>
      <c r="K762" s="68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5"/>
    </row>
    <row r="763" spans="1:36" ht="15.75" customHeight="1">
      <c r="A763" s="53"/>
      <c r="B763" s="65"/>
      <c r="C763" s="65"/>
      <c r="D763" s="65"/>
      <c r="E763" s="66"/>
      <c r="F763" s="65"/>
      <c r="G763" s="67"/>
      <c r="H763" s="65"/>
      <c r="I763" s="65"/>
      <c r="J763" s="68"/>
      <c r="K763" s="68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5"/>
    </row>
    <row r="764" spans="1:36" ht="15.75" customHeight="1">
      <c r="A764" s="53"/>
      <c r="B764" s="65"/>
      <c r="C764" s="65"/>
      <c r="D764" s="65"/>
      <c r="E764" s="66"/>
      <c r="F764" s="65"/>
      <c r="G764" s="67"/>
      <c r="H764" s="65"/>
      <c r="I764" s="65"/>
      <c r="J764" s="68"/>
      <c r="K764" s="68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</row>
    <row r="765" spans="1:36" ht="15.75" customHeight="1">
      <c r="A765" s="53"/>
      <c r="B765" s="65"/>
      <c r="C765" s="65"/>
      <c r="D765" s="65"/>
      <c r="E765" s="66"/>
      <c r="F765" s="65"/>
      <c r="G765" s="67"/>
      <c r="H765" s="65"/>
      <c r="I765" s="65"/>
      <c r="J765" s="68"/>
      <c r="K765" s="68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5"/>
    </row>
    <row r="766" spans="1:36" ht="15.75" customHeight="1">
      <c r="A766" s="53"/>
      <c r="B766" s="65"/>
      <c r="C766" s="65"/>
      <c r="D766" s="65"/>
      <c r="E766" s="66"/>
      <c r="F766" s="65"/>
      <c r="G766" s="67"/>
      <c r="H766" s="65"/>
      <c r="I766" s="65"/>
      <c r="J766" s="68"/>
      <c r="K766" s="68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</row>
    <row r="767" spans="1:36" ht="15.75" customHeight="1">
      <c r="A767" s="53"/>
      <c r="B767" s="65"/>
      <c r="C767" s="65"/>
      <c r="D767" s="65"/>
      <c r="E767" s="66"/>
      <c r="F767" s="65"/>
      <c r="G767" s="67"/>
      <c r="H767" s="65"/>
      <c r="I767" s="65"/>
      <c r="J767" s="68"/>
      <c r="K767" s="68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</row>
    <row r="768" spans="1:36" ht="15.75" customHeight="1">
      <c r="A768" s="53"/>
      <c r="B768" s="65"/>
      <c r="C768" s="65"/>
      <c r="D768" s="65"/>
      <c r="E768" s="66"/>
      <c r="F768" s="65"/>
      <c r="G768" s="67"/>
      <c r="H768" s="65"/>
      <c r="I768" s="65"/>
      <c r="J768" s="68"/>
      <c r="K768" s="68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5"/>
    </row>
    <row r="769" spans="1:36" ht="15.75" customHeight="1">
      <c r="A769" s="53"/>
      <c r="B769" s="65"/>
      <c r="C769" s="65"/>
      <c r="D769" s="65"/>
      <c r="E769" s="66"/>
      <c r="F769" s="65"/>
      <c r="G769" s="67"/>
      <c r="H769" s="65"/>
      <c r="I769" s="65"/>
      <c r="J769" s="68"/>
      <c r="K769" s="68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5"/>
    </row>
    <row r="770" spans="1:36" ht="15.75" customHeight="1">
      <c r="A770" s="53"/>
      <c r="B770" s="65"/>
      <c r="C770" s="65"/>
      <c r="D770" s="65"/>
      <c r="E770" s="66"/>
      <c r="F770" s="65"/>
      <c r="G770" s="67"/>
      <c r="H770" s="65"/>
      <c r="I770" s="65"/>
      <c r="J770" s="68"/>
      <c r="K770" s="68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5"/>
    </row>
    <row r="771" spans="1:36" ht="15.75" customHeight="1">
      <c r="A771" s="53"/>
      <c r="B771" s="65"/>
      <c r="C771" s="65"/>
      <c r="D771" s="65"/>
      <c r="E771" s="66"/>
      <c r="F771" s="65"/>
      <c r="G771" s="67"/>
      <c r="H771" s="65"/>
      <c r="I771" s="65"/>
      <c r="J771" s="68"/>
      <c r="K771" s="68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5"/>
    </row>
    <row r="772" spans="1:36" ht="15.75" customHeight="1">
      <c r="A772" s="53"/>
      <c r="B772" s="65"/>
      <c r="C772" s="65"/>
      <c r="D772" s="65"/>
      <c r="E772" s="66"/>
      <c r="F772" s="65"/>
      <c r="G772" s="67"/>
      <c r="H772" s="65"/>
      <c r="I772" s="65"/>
      <c r="J772" s="68"/>
      <c r="K772" s="68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</row>
    <row r="773" spans="1:36" ht="15.75" customHeight="1">
      <c r="A773" s="53"/>
      <c r="B773" s="65"/>
      <c r="C773" s="65"/>
      <c r="D773" s="65"/>
      <c r="E773" s="66"/>
      <c r="F773" s="65"/>
      <c r="G773" s="67"/>
      <c r="H773" s="65"/>
      <c r="I773" s="65"/>
      <c r="J773" s="68"/>
      <c r="K773" s="68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5"/>
    </row>
    <row r="774" spans="1:36" ht="15.75" customHeight="1">
      <c r="A774" s="53"/>
      <c r="B774" s="65"/>
      <c r="C774" s="65"/>
      <c r="D774" s="65"/>
      <c r="E774" s="66"/>
      <c r="F774" s="65"/>
      <c r="G774" s="67"/>
      <c r="H774" s="65"/>
      <c r="I774" s="65"/>
      <c r="J774" s="68"/>
      <c r="K774" s="68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5"/>
    </row>
    <row r="775" spans="1:36" ht="15.75" customHeight="1">
      <c r="A775" s="53"/>
      <c r="B775" s="65"/>
      <c r="C775" s="65"/>
      <c r="D775" s="65"/>
      <c r="E775" s="66"/>
      <c r="F775" s="65"/>
      <c r="G775" s="67"/>
      <c r="H775" s="65"/>
      <c r="I775" s="65"/>
      <c r="J775" s="68"/>
      <c r="K775" s="68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5"/>
    </row>
    <row r="776" spans="1:36" ht="15.75" customHeight="1">
      <c r="A776" s="53"/>
      <c r="B776" s="65"/>
      <c r="C776" s="65"/>
      <c r="D776" s="65"/>
      <c r="E776" s="66"/>
      <c r="F776" s="65"/>
      <c r="G776" s="67"/>
      <c r="H776" s="65"/>
      <c r="I776" s="65"/>
      <c r="J776" s="68"/>
      <c r="K776" s="68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5"/>
    </row>
    <row r="777" spans="1:36" ht="15.75" customHeight="1">
      <c r="A777" s="53"/>
      <c r="B777" s="65"/>
      <c r="C777" s="65"/>
      <c r="D777" s="65"/>
      <c r="E777" s="66"/>
      <c r="F777" s="65"/>
      <c r="G777" s="67"/>
      <c r="H777" s="65"/>
      <c r="I777" s="65"/>
      <c r="J777" s="68"/>
      <c r="K777" s="68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5"/>
    </row>
    <row r="778" spans="1:36" ht="15.75" customHeight="1">
      <c r="A778" s="53"/>
      <c r="B778" s="65"/>
      <c r="C778" s="65"/>
      <c r="D778" s="65"/>
      <c r="E778" s="66"/>
      <c r="F778" s="65"/>
      <c r="G778" s="67"/>
      <c r="H778" s="65"/>
      <c r="I778" s="65"/>
      <c r="J778" s="68"/>
      <c r="K778" s="68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5"/>
    </row>
    <row r="779" spans="1:36" ht="15.75" customHeight="1">
      <c r="A779" s="53"/>
      <c r="B779" s="65"/>
      <c r="C779" s="65"/>
      <c r="D779" s="65"/>
      <c r="E779" s="66"/>
      <c r="F779" s="65"/>
      <c r="G779" s="67"/>
      <c r="H779" s="65"/>
      <c r="I779" s="65"/>
      <c r="J779" s="68"/>
      <c r="K779" s="68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5"/>
    </row>
    <row r="780" spans="1:36" ht="15.75" customHeight="1">
      <c r="A780" s="53"/>
      <c r="B780" s="65"/>
      <c r="C780" s="65"/>
      <c r="D780" s="65"/>
      <c r="E780" s="66"/>
      <c r="F780" s="65"/>
      <c r="G780" s="67"/>
      <c r="H780" s="65"/>
      <c r="I780" s="65"/>
      <c r="J780" s="68"/>
      <c r="K780" s="68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</row>
    <row r="781" spans="1:36" ht="15.75" customHeight="1">
      <c r="A781" s="53"/>
      <c r="B781" s="65"/>
      <c r="C781" s="65"/>
      <c r="D781" s="65"/>
      <c r="E781" s="66"/>
      <c r="F781" s="65"/>
      <c r="G781" s="67"/>
      <c r="H781" s="65"/>
      <c r="I781" s="65"/>
      <c r="J781" s="68"/>
      <c r="K781" s="68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5"/>
    </row>
    <row r="782" spans="1:36" ht="15.75" customHeight="1">
      <c r="A782" s="53"/>
      <c r="B782" s="65"/>
      <c r="C782" s="65"/>
      <c r="D782" s="65"/>
      <c r="E782" s="66"/>
      <c r="F782" s="65"/>
      <c r="G782" s="67"/>
      <c r="H782" s="65"/>
      <c r="I782" s="65"/>
      <c r="J782" s="68"/>
      <c r="K782" s="68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5"/>
    </row>
    <row r="783" spans="1:36" ht="15.75" customHeight="1">
      <c r="A783" s="53"/>
      <c r="B783" s="65"/>
      <c r="C783" s="65"/>
      <c r="D783" s="65"/>
      <c r="E783" s="66"/>
      <c r="F783" s="65"/>
      <c r="G783" s="67"/>
      <c r="H783" s="65"/>
      <c r="I783" s="65"/>
      <c r="J783" s="68"/>
      <c r="K783" s="68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5"/>
    </row>
    <row r="784" spans="1:36" ht="15.75" customHeight="1">
      <c r="A784" s="53"/>
      <c r="B784" s="65"/>
      <c r="C784" s="65"/>
      <c r="D784" s="65"/>
      <c r="E784" s="66"/>
      <c r="F784" s="65"/>
      <c r="G784" s="67"/>
      <c r="H784" s="65"/>
      <c r="I784" s="65"/>
      <c r="J784" s="68"/>
      <c r="K784" s="68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5"/>
    </row>
    <row r="785" spans="1:36" ht="15.75" customHeight="1">
      <c r="A785" s="53"/>
      <c r="B785" s="65"/>
      <c r="C785" s="65"/>
      <c r="D785" s="65"/>
      <c r="E785" s="66"/>
      <c r="F785" s="65"/>
      <c r="G785" s="67"/>
      <c r="H785" s="65"/>
      <c r="I785" s="65"/>
      <c r="J785" s="68"/>
      <c r="K785" s="68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5"/>
    </row>
    <row r="786" spans="1:36" ht="15.75" customHeight="1">
      <c r="A786" s="53"/>
      <c r="B786" s="65"/>
      <c r="C786" s="65"/>
      <c r="D786" s="65"/>
      <c r="E786" s="66"/>
      <c r="F786" s="65"/>
      <c r="G786" s="67"/>
      <c r="H786" s="65"/>
      <c r="I786" s="65"/>
      <c r="J786" s="68"/>
      <c r="K786" s="68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5"/>
    </row>
    <row r="787" spans="1:36" ht="15.75" customHeight="1">
      <c r="A787" s="53"/>
      <c r="B787" s="65"/>
      <c r="C787" s="65"/>
      <c r="D787" s="65"/>
      <c r="E787" s="66"/>
      <c r="F787" s="65"/>
      <c r="G787" s="67"/>
      <c r="H787" s="65"/>
      <c r="I787" s="65"/>
      <c r="J787" s="68"/>
      <c r="K787" s="68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5"/>
    </row>
    <row r="788" spans="1:36" ht="15.75" customHeight="1">
      <c r="A788" s="53"/>
      <c r="B788" s="65"/>
      <c r="C788" s="65"/>
      <c r="D788" s="65"/>
      <c r="E788" s="66"/>
      <c r="F788" s="65"/>
      <c r="G788" s="67"/>
      <c r="H788" s="65"/>
      <c r="I788" s="65"/>
      <c r="J788" s="68"/>
      <c r="K788" s="68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</row>
    <row r="789" spans="1:36" ht="15.75" customHeight="1">
      <c r="A789" s="53"/>
      <c r="B789" s="65"/>
      <c r="C789" s="65"/>
      <c r="D789" s="65"/>
      <c r="E789" s="66"/>
      <c r="F789" s="65"/>
      <c r="G789" s="67"/>
      <c r="H789" s="65"/>
      <c r="I789" s="65"/>
      <c r="J789" s="68"/>
      <c r="K789" s="68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5"/>
    </row>
    <row r="790" spans="1:36" ht="15.75" customHeight="1">
      <c r="A790" s="53"/>
      <c r="B790" s="65"/>
      <c r="C790" s="65"/>
      <c r="D790" s="65"/>
      <c r="E790" s="66"/>
      <c r="F790" s="65"/>
      <c r="G790" s="67"/>
      <c r="H790" s="65"/>
      <c r="I790" s="65"/>
      <c r="J790" s="68"/>
      <c r="K790" s="68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</row>
    <row r="791" spans="1:36" ht="15.75" customHeight="1">
      <c r="A791" s="53"/>
      <c r="B791" s="65"/>
      <c r="C791" s="65"/>
      <c r="D791" s="65"/>
      <c r="E791" s="66"/>
      <c r="F791" s="65"/>
      <c r="G791" s="67"/>
      <c r="H791" s="65"/>
      <c r="I791" s="65"/>
      <c r="J791" s="68"/>
      <c r="K791" s="68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5"/>
    </row>
    <row r="792" spans="1:36" ht="15.75" customHeight="1">
      <c r="A792" s="53"/>
      <c r="B792" s="65"/>
      <c r="C792" s="65"/>
      <c r="D792" s="65"/>
      <c r="E792" s="66"/>
      <c r="F792" s="65"/>
      <c r="G792" s="67"/>
      <c r="H792" s="65"/>
      <c r="I792" s="65"/>
      <c r="J792" s="68"/>
      <c r="K792" s="68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5"/>
    </row>
    <row r="793" spans="1:36" ht="15.75" customHeight="1">
      <c r="A793" s="53"/>
      <c r="B793" s="65"/>
      <c r="C793" s="65"/>
      <c r="D793" s="65"/>
      <c r="E793" s="66"/>
      <c r="F793" s="65"/>
      <c r="G793" s="67"/>
      <c r="H793" s="65"/>
      <c r="I793" s="65"/>
      <c r="J793" s="68"/>
      <c r="K793" s="68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5"/>
    </row>
    <row r="794" spans="1:36" ht="15.75" customHeight="1">
      <c r="A794" s="53"/>
      <c r="B794" s="65"/>
      <c r="C794" s="65"/>
      <c r="D794" s="65"/>
      <c r="E794" s="66"/>
      <c r="F794" s="65"/>
      <c r="G794" s="67"/>
      <c r="H794" s="65"/>
      <c r="I794" s="65"/>
      <c r="J794" s="68"/>
      <c r="K794" s="68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5"/>
    </row>
    <row r="795" spans="1:36" ht="15.75" customHeight="1">
      <c r="A795" s="53"/>
      <c r="B795" s="65"/>
      <c r="C795" s="65"/>
      <c r="D795" s="65"/>
      <c r="E795" s="66"/>
      <c r="F795" s="65"/>
      <c r="G795" s="67"/>
      <c r="H795" s="65"/>
      <c r="I795" s="65"/>
      <c r="J795" s="68"/>
      <c r="K795" s="68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5"/>
    </row>
    <row r="796" spans="1:36" ht="15.75" customHeight="1">
      <c r="A796" s="53"/>
      <c r="B796" s="65"/>
      <c r="C796" s="65"/>
      <c r="D796" s="65"/>
      <c r="E796" s="66"/>
      <c r="F796" s="65"/>
      <c r="G796" s="67"/>
      <c r="H796" s="65"/>
      <c r="I796" s="65"/>
      <c r="J796" s="68"/>
      <c r="K796" s="68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</row>
    <row r="797" spans="1:36" ht="15.75" customHeight="1">
      <c r="A797" s="53"/>
      <c r="B797" s="65"/>
      <c r="C797" s="65"/>
      <c r="D797" s="65"/>
      <c r="E797" s="66"/>
      <c r="F797" s="65"/>
      <c r="G797" s="67"/>
      <c r="H797" s="65"/>
      <c r="I797" s="65"/>
      <c r="J797" s="68"/>
      <c r="K797" s="68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5"/>
    </row>
    <row r="798" spans="1:36" ht="15.75" customHeight="1">
      <c r="A798" s="53"/>
      <c r="B798" s="65"/>
      <c r="C798" s="65"/>
      <c r="D798" s="65"/>
      <c r="E798" s="66"/>
      <c r="F798" s="65"/>
      <c r="G798" s="67"/>
      <c r="H798" s="65"/>
      <c r="I798" s="65"/>
      <c r="J798" s="68"/>
      <c r="K798" s="68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5"/>
    </row>
    <row r="799" spans="1:36" ht="15.75" customHeight="1">
      <c r="A799" s="53"/>
      <c r="B799" s="65"/>
      <c r="C799" s="65"/>
      <c r="D799" s="65"/>
      <c r="E799" s="66"/>
      <c r="F799" s="65"/>
      <c r="G799" s="67"/>
      <c r="H799" s="65"/>
      <c r="I799" s="65"/>
      <c r="J799" s="68"/>
      <c r="K799" s="68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5"/>
    </row>
    <row r="800" spans="1:36" ht="15.75" customHeight="1">
      <c r="A800" s="53"/>
      <c r="B800" s="65"/>
      <c r="C800" s="65"/>
      <c r="D800" s="65"/>
      <c r="E800" s="66"/>
      <c r="F800" s="65"/>
      <c r="G800" s="67"/>
      <c r="H800" s="65"/>
      <c r="I800" s="65"/>
      <c r="J800" s="68"/>
      <c r="K800" s="68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5"/>
    </row>
    <row r="801" spans="1:36" ht="15.75" customHeight="1">
      <c r="A801" s="53"/>
      <c r="B801" s="65"/>
      <c r="C801" s="65"/>
      <c r="D801" s="65"/>
      <c r="E801" s="66"/>
      <c r="F801" s="65"/>
      <c r="G801" s="67"/>
      <c r="H801" s="65"/>
      <c r="I801" s="65"/>
      <c r="J801" s="68"/>
      <c r="K801" s="68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5"/>
    </row>
    <row r="802" spans="1:36" ht="15.75" customHeight="1">
      <c r="A802" s="53"/>
      <c r="B802" s="65"/>
      <c r="C802" s="65"/>
      <c r="D802" s="65"/>
      <c r="E802" s="66"/>
      <c r="F802" s="65"/>
      <c r="G802" s="67"/>
      <c r="H802" s="65"/>
      <c r="I802" s="65"/>
      <c r="J802" s="68"/>
      <c r="K802" s="68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5"/>
    </row>
    <row r="803" spans="1:36" ht="15.75" customHeight="1">
      <c r="A803" s="53"/>
      <c r="B803" s="65"/>
      <c r="C803" s="65"/>
      <c r="D803" s="65"/>
      <c r="E803" s="66"/>
      <c r="F803" s="65"/>
      <c r="G803" s="67"/>
      <c r="H803" s="65"/>
      <c r="I803" s="65"/>
      <c r="J803" s="68"/>
      <c r="K803" s="68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</row>
    <row r="804" spans="1:36" ht="15.75" customHeight="1">
      <c r="A804" s="53"/>
      <c r="B804" s="65"/>
      <c r="C804" s="65"/>
      <c r="D804" s="65"/>
      <c r="E804" s="66"/>
      <c r="F804" s="65"/>
      <c r="G804" s="67"/>
      <c r="H804" s="65"/>
      <c r="I804" s="65"/>
      <c r="J804" s="68"/>
      <c r="K804" s="68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</row>
    <row r="805" spans="1:36" ht="15.75" customHeight="1">
      <c r="A805" s="53"/>
      <c r="B805" s="65"/>
      <c r="C805" s="65"/>
      <c r="D805" s="65"/>
      <c r="E805" s="66"/>
      <c r="F805" s="65"/>
      <c r="G805" s="67"/>
      <c r="H805" s="65"/>
      <c r="I805" s="65"/>
      <c r="J805" s="68"/>
      <c r="K805" s="68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5"/>
    </row>
    <row r="806" spans="1:36" ht="15.75" customHeight="1">
      <c r="A806" s="53"/>
      <c r="B806" s="65"/>
      <c r="C806" s="65"/>
      <c r="D806" s="65"/>
      <c r="E806" s="66"/>
      <c r="F806" s="65"/>
      <c r="G806" s="67"/>
      <c r="H806" s="65"/>
      <c r="I806" s="65"/>
      <c r="J806" s="68"/>
      <c r="K806" s="68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</row>
    <row r="807" spans="1:36" ht="15.75" customHeight="1">
      <c r="A807" s="53"/>
      <c r="B807" s="65"/>
      <c r="C807" s="65"/>
      <c r="D807" s="65"/>
      <c r="E807" s="66"/>
      <c r="F807" s="65"/>
      <c r="G807" s="67"/>
      <c r="H807" s="65"/>
      <c r="I807" s="65"/>
      <c r="J807" s="68"/>
      <c r="K807" s="68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5"/>
    </row>
    <row r="808" spans="1:36" ht="15.75" customHeight="1">
      <c r="A808" s="53"/>
      <c r="B808" s="65"/>
      <c r="C808" s="65"/>
      <c r="D808" s="65"/>
      <c r="E808" s="66"/>
      <c r="F808" s="65"/>
      <c r="G808" s="67"/>
      <c r="H808" s="65"/>
      <c r="I808" s="65"/>
      <c r="J808" s="68"/>
      <c r="K808" s="68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</row>
    <row r="809" spans="1:36" ht="15.75" customHeight="1">
      <c r="A809" s="53"/>
      <c r="B809" s="65"/>
      <c r="C809" s="65"/>
      <c r="D809" s="65"/>
      <c r="E809" s="66"/>
      <c r="F809" s="65"/>
      <c r="G809" s="67"/>
      <c r="H809" s="65"/>
      <c r="I809" s="65"/>
      <c r="J809" s="68"/>
      <c r="K809" s="68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5"/>
    </row>
    <row r="810" spans="1:36" ht="15.75" customHeight="1">
      <c r="A810" s="53"/>
      <c r="B810" s="65"/>
      <c r="C810" s="65"/>
      <c r="D810" s="65"/>
      <c r="E810" s="66"/>
      <c r="F810" s="65"/>
      <c r="G810" s="67"/>
      <c r="H810" s="65"/>
      <c r="I810" s="65"/>
      <c r="J810" s="68"/>
      <c r="K810" s="68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</row>
    <row r="811" spans="1:36" ht="15.75" customHeight="1">
      <c r="A811" s="53"/>
      <c r="B811" s="65"/>
      <c r="C811" s="65"/>
      <c r="D811" s="65"/>
      <c r="E811" s="66"/>
      <c r="F811" s="65"/>
      <c r="G811" s="67"/>
      <c r="H811" s="65"/>
      <c r="I811" s="65"/>
      <c r="J811" s="68"/>
      <c r="K811" s="68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5"/>
    </row>
    <row r="812" spans="1:36" ht="15.75" customHeight="1">
      <c r="A812" s="53"/>
      <c r="B812" s="65"/>
      <c r="C812" s="65"/>
      <c r="D812" s="65"/>
      <c r="E812" s="66"/>
      <c r="F812" s="65"/>
      <c r="G812" s="67"/>
      <c r="H812" s="65"/>
      <c r="I812" s="65"/>
      <c r="J812" s="68"/>
      <c r="K812" s="68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</row>
    <row r="813" spans="1:36" ht="15.75" customHeight="1">
      <c r="A813" s="53"/>
      <c r="B813" s="65"/>
      <c r="C813" s="65"/>
      <c r="D813" s="65"/>
      <c r="E813" s="66"/>
      <c r="F813" s="65"/>
      <c r="G813" s="67"/>
      <c r="H813" s="65"/>
      <c r="I813" s="65"/>
      <c r="J813" s="68"/>
      <c r="K813" s="68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5"/>
    </row>
    <row r="814" spans="1:36" ht="15.75" customHeight="1">
      <c r="A814" s="53"/>
      <c r="B814" s="65"/>
      <c r="C814" s="65"/>
      <c r="D814" s="65"/>
      <c r="E814" s="66"/>
      <c r="F814" s="65"/>
      <c r="G814" s="67"/>
      <c r="H814" s="65"/>
      <c r="I814" s="65"/>
      <c r="J814" s="68"/>
      <c r="K814" s="68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5"/>
    </row>
    <row r="815" spans="1:36" ht="15.75" customHeight="1">
      <c r="A815" s="53"/>
      <c r="B815" s="65"/>
      <c r="C815" s="65"/>
      <c r="D815" s="65"/>
      <c r="E815" s="66"/>
      <c r="F815" s="65"/>
      <c r="G815" s="67"/>
      <c r="H815" s="65"/>
      <c r="I815" s="65"/>
      <c r="J815" s="68"/>
      <c r="K815" s="68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5"/>
    </row>
    <row r="816" spans="1:36" ht="15.75" customHeight="1">
      <c r="A816" s="53"/>
      <c r="B816" s="65"/>
      <c r="C816" s="65"/>
      <c r="D816" s="65"/>
      <c r="E816" s="66"/>
      <c r="F816" s="65"/>
      <c r="G816" s="67"/>
      <c r="H816" s="65"/>
      <c r="I816" s="65"/>
      <c r="J816" s="68"/>
      <c r="K816" s="68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</row>
    <row r="817" spans="1:36" ht="15.75" customHeight="1">
      <c r="A817" s="53"/>
      <c r="B817" s="65"/>
      <c r="C817" s="65"/>
      <c r="D817" s="65"/>
      <c r="E817" s="66"/>
      <c r="F817" s="65"/>
      <c r="G817" s="67"/>
      <c r="H817" s="65"/>
      <c r="I817" s="65"/>
      <c r="J817" s="68"/>
      <c r="K817" s="68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5"/>
    </row>
    <row r="818" spans="1:36" ht="15.75" customHeight="1">
      <c r="A818" s="53"/>
      <c r="B818" s="65"/>
      <c r="C818" s="65"/>
      <c r="D818" s="65"/>
      <c r="E818" s="66"/>
      <c r="F818" s="65"/>
      <c r="G818" s="67"/>
      <c r="H818" s="65"/>
      <c r="I818" s="65"/>
      <c r="J818" s="68"/>
      <c r="K818" s="68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</row>
    <row r="819" spans="1:36" ht="15.75" customHeight="1">
      <c r="A819" s="53"/>
      <c r="B819" s="65"/>
      <c r="C819" s="65"/>
      <c r="D819" s="65"/>
      <c r="E819" s="66"/>
      <c r="F819" s="65"/>
      <c r="G819" s="67"/>
      <c r="H819" s="65"/>
      <c r="I819" s="65"/>
      <c r="J819" s="68"/>
      <c r="K819" s="68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5"/>
    </row>
    <row r="820" spans="1:36" ht="15.75" customHeight="1">
      <c r="A820" s="53"/>
      <c r="B820" s="65"/>
      <c r="C820" s="65"/>
      <c r="D820" s="65"/>
      <c r="E820" s="66"/>
      <c r="F820" s="65"/>
      <c r="G820" s="67"/>
      <c r="H820" s="65"/>
      <c r="I820" s="65"/>
      <c r="J820" s="68"/>
      <c r="K820" s="68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</row>
    <row r="821" spans="1:36" ht="15.75" customHeight="1">
      <c r="A821" s="53"/>
      <c r="B821" s="65"/>
      <c r="C821" s="65"/>
      <c r="D821" s="65"/>
      <c r="E821" s="66"/>
      <c r="F821" s="65"/>
      <c r="G821" s="67"/>
      <c r="H821" s="65"/>
      <c r="I821" s="65"/>
      <c r="J821" s="68"/>
      <c r="K821" s="68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5"/>
    </row>
    <row r="822" spans="1:36" ht="15.75" customHeight="1">
      <c r="A822" s="53"/>
      <c r="B822" s="65"/>
      <c r="C822" s="65"/>
      <c r="D822" s="65"/>
      <c r="E822" s="66"/>
      <c r="F822" s="65"/>
      <c r="G822" s="67"/>
      <c r="H822" s="65"/>
      <c r="I822" s="65"/>
      <c r="J822" s="68"/>
      <c r="K822" s="68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5"/>
    </row>
    <row r="823" spans="1:36" ht="15.75" customHeight="1">
      <c r="A823" s="53"/>
      <c r="B823" s="65"/>
      <c r="C823" s="65"/>
      <c r="D823" s="65"/>
      <c r="E823" s="66"/>
      <c r="F823" s="65"/>
      <c r="G823" s="67"/>
      <c r="H823" s="65"/>
      <c r="I823" s="65"/>
      <c r="J823" s="68"/>
      <c r="K823" s="68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5"/>
    </row>
    <row r="824" spans="1:36" ht="15.75" customHeight="1">
      <c r="A824" s="53"/>
      <c r="B824" s="65"/>
      <c r="C824" s="65"/>
      <c r="D824" s="65"/>
      <c r="E824" s="66"/>
      <c r="F824" s="65"/>
      <c r="G824" s="67"/>
      <c r="H824" s="65"/>
      <c r="I824" s="65"/>
      <c r="J824" s="68"/>
      <c r="K824" s="68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</row>
    <row r="825" spans="1:36" ht="15.75" customHeight="1">
      <c r="A825" s="53"/>
      <c r="B825" s="65"/>
      <c r="C825" s="65"/>
      <c r="D825" s="65"/>
      <c r="E825" s="66"/>
      <c r="F825" s="65"/>
      <c r="G825" s="67"/>
      <c r="H825" s="65"/>
      <c r="I825" s="65"/>
      <c r="J825" s="68"/>
      <c r="K825" s="68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</row>
    <row r="826" spans="1:36" ht="15.75" customHeight="1">
      <c r="A826" s="53"/>
      <c r="B826" s="65"/>
      <c r="C826" s="65"/>
      <c r="D826" s="65"/>
      <c r="E826" s="66"/>
      <c r="F826" s="65"/>
      <c r="G826" s="67"/>
      <c r="H826" s="65"/>
      <c r="I826" s="65"/>
      <c r="J826" s="68"/>
      <c r="K826" s="68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</row>
    <row r="827" spans="1:36" ht="15.75" customHeight="1">
      <c r="A827" s="53"/>
      <c r="B827" s="65"/>
      <c r="C827" s="65"/>
      <c r="D827" s="65"/>
      <c r="E827" s="66"/>
      <c r="F827" s="65"/>
      <c r="G827" s="67"/>
      <c r="H827" s="65"/>
      <c r="I827" s="65"/>
      <c r="J827" s="68"/>
      <c r="K827" s="68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5"/>
    </row>
    <row r="828" spans="1:36" ht="15.75" customHeight="1">
      <c r="A828" s="53"/>
      <c r="B828" s="65"/>
      <c r="C828" s="65"/>
      <c r="D828" s="65"/>
      <c r="E828" s="66"/>
      <c r="F828" s="65"/>
      <c r="G828" s="67"/>
      <c r="H828" s="65"/>
      <c r="I828" s="65"/>
      <c r="J828" s="68"/>
      <c r="K828" s="68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</row>
    <row r="829" spans="1:36" ht="15.75" customHeight="1">
      <c r="A829" s="53"/>
      <c r="B829" s="65"/>
      <c r="C829" s="65"/>
      <c r="D829" s="65"/>
      <c r="E829" s="66"/>
      <c r="F829" s="65"/>
      <c r="G829" s="67"/>
      <c r="H829" s="65"/>
      <c r="I829" s="65"/>
      <c r="J829" s="68"/>
      <c r="K829" s="68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</row>
    <row r="830" spans="1:36" ht="15.75" customHeight="1">
      <c r="A830" s="53"/>
      <c r="B830" s="65"/>
      <c r="C830" s="65"/>
      <c r="D830" s="65"/>
      <c r="E830" s="66"/>
      <c r="F830" s="65"/>
      <c r="G830" s="67"/>
      <c r="H830" s="65"/>
      <c r="I830" s="65"/>
      <c r="J830" s="68"/>
      <c r="K830" s="68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5"/>
    </row>
    <row r="831" spans="1:36" ht="15.75" customHeight="1">
      <c r="A831" s="53"/>
      <c r="B831" s="65"/>
      <c r="C831" s="65"/>
      <c r="D831" s="65"/>
      <c r="E831" s="66"/>
      <c r="F831" s="65"/>
      <c r="G831" s="67"/>
      <c r="H831" s="65"/>
      <c r="I831" s="65"/>
      <c r="J831" s="68"/>
      <c r="K831" s="68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5"/>
    </row>
    <row r="832" spans="1:36" ht="15.75" customHeight="1">
      <c r="A832" s="53"/>
      <c r="B832" s="65"/>
      <c r="C832" s="65"/>
      <c r="D832" s="65"/>
      <c r="E832" s="66"/>
      <c r="F832" s="65"/>
      <c r="G832" s="67"/>
      <c r="H832" s="65"/>
      <c r="I832" s="65"/>
      <c r="J832" s="68"/>
      <c r="K832" s="68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5"/>
    </row>
    <row r="833" spans="1:36" ht="15.75" customHeight="1">
      <c r="A833" s="53"/>
      <c r="B833" s="65"/>
      <c r="C833" s="65"/>
      <c r="D833" s="65"/>
      <c r="E833" s="66"/>
      <c r="F833" s="65"/>
      <c r="G833" s="67"/>
      <c r="H833" s="65"/>
      <c r="I833" s="65"/>
      <c r="J833" s="68"/>
      <c r="K833" s="68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5"/>
    </row>
    <row r="834" spans="1:36" ht="15.75" customHeight="1">
      <c r="A834" s="53"/>
      <c r="B834" s="65"/>
      <c r="C834" s="65"/>
      <c r="D834" s="65"/>
      <c r="E834" s="66"/>
      <c r="F834" s="65"/>
      <c r="G834" s="67"/>
      <c r="H834" s="65"/>
      <c r="I834" s="65"/>
      <c r="J834" s="68"/>
      <c r="K834" s="68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</row>
    <row r="835" spans="1:36" ht="15.75" customHeight="1">
      <c r="A835" s="53"/>
      <c r="B835" s="65"/>
      <c r="C835" s="65"/>
      <c r="D835" s="65"/>
      <c r="E835" s="66"/>
      <c r="F835" s="65"/>
      <c r="G835" s="67"/>
      <c r="H835" s="65"/>
      <c r="I835" s="65"/>
      <c r="J835" s="68"/>
      <c r="K835" s="68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5"/>
    </row>
    <row r="836" spans="1:36" ht="15.75" customHeight="1">
      <c r="A836" s="53"/>
      <c r="B836" s="65"/>
      <c r="C836" s="65"/>
      <c r="D836" s="65"/>
      <c r="E836" s="66"/>
      <c r="F836" s="65"/>
      <c r="G836" s="67"/>
      <c r="H836" s="65"/>
      <c r="I836" s="65"/>
      <c r="J836" s="68"/>
      <c r="K836" s="68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5"/>
    </row>
    <row r="837" spans="1:36" ht="15.75" customHeight="1">
      <c r="A837" s="53"/>
      <c r="B837" s="65"/>
      <c r="C837" s="65"/>
      <c r="D837" s="65"/>
      <c r="E837" s="66"/>
      <c r="F837" s="65"/>
      <c r="G837" s="67"/>
      <c r="H837" s="65"/>
      <c r="I837" s="65"/>
      <c r="J837" s="68"/>
      <c r="K837" s="68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5"/>
    </row>
    <row r="838" spans="1:36" ht="15.75" customHeight="1">
      <c r="A838" s="53"/>
      <c r="B838" s="65"/>
      <c r="C838" s="65"/>
      <c r="D838" s="65"/>
      <c r="E838" s="66"/>
      <c r="F838" s="65"/>
      <c r="G838" s="67"/>
      <c r="H838" s="65"/>
      <c r="I838" s="65"/>
      <c r="J838" s="68"/>
      <c r="K838" s="68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5"/>
    </row>
    <row r="839" spans="1:36" ht="15.75" customHeight="1">
      <c r="A839" s="53"/>
      <c r="B839" s="65"/>
      <c r="C839" s="65"/>
      <c r="D839" s="65"/>
      <c r="E839" s="66"/>
      <c r="F839" s="65"/>
      <c r="G839" s="67"/>
      <c r="H839" s="65"/>
      <c r="I839" s="65"/>
      <c r="J839" s="68"/>
      <c r="K839" s="68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</row>
    <row r="840" spans="1:36" ht="15.75" customHeight="1">
      <c r="A840" s="53"/>
      <c r="B840" s="65"/>
      <c r="C840" s="65"/>
      <c r="D840" s="65"/>
      <c r="E840" s="66"/>
      <c r="F840" s="65"/>
      <c r="G840" s="67"/>
      <c r="H840" s="65"/>
      <c r="I840" s="65"/>
      <c r="J840" s="68"/>
      <c r="K840" s="68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5"/>
    </row>
    <row r="841" spans="1:36" ht="15.75" customHeight="1">
      <c r="A841" s="53"/>
      <c r="B841" s="65"/>
      <c r="C841" s="65"/>
      <c r="D841" s="65"/>
      <c r="E841" s="66"/>
      <c r="F841" s="65"/>
      <c r="G841" s="67"/>
      <c r="H841" s="65"/>
      <c r="I841" s="65"/>
      <c r="J841" s="68"/>
      <c r="K841" s="68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</row>
    <row r="842" spans="1:36" ht="15.75" customHeight="1">
      <c r="A842" s="53"/>
      <c r="B842" s="65"/>
      <c r="C842" s="65"/>
      <c r="D842" s="65"/>
      <c r="E842" s="66"/>
      <c r="F842" s="65"/>
      <c r="G842" s="67"/>
      <c r="H842" s="65"/>
      <c r="I842" s="65"/>
      <c r="J842" s="68"/>
      <c r="K842" s="68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</row>
    <row r="843" spans="1:36" ht="15.75" customHeight="1">
      <c r="A843" s="53"/>
      <c r="B843" s="65"/>
      <c r="C843" s="65"/>
      <c r="D843" s="65"/>
      <c r="E843" s="66"/>
      <c r="F843" s="65"/>
      <c r="G843" s="67"/>
      <c r="H843" s="65"/>
      <c r="I843" s="65"/>
      <c r="J843" s="68"/>
      <c r="K843" s="68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</row>
    <row r="844" spans="1:36" ht="15.75" customHeight="1">
      <c r="A844" s="53"/>
      <c r="B844" s="65"/>
      <c r="C844" s="65"/>
      <c r="D844" s="65"/>
      <c r="E844" s="66"/>
      <c r="F844" s="65"/>
      <c r="G844" s="67"/>
      <c r="H844" s="65"/>
      <c r="I844" s="65"/>
      <c r="J844" s="68"/>
      <c r="K844" s="68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</row>
    <row r="845" spans="1:36" ht="15.75" customHeight="1">
      <c r="A845" s="53"/>
      <c r="B845" s="65"/>
      <c r="C845" s="65"/>
      <c r="D845" s="65"/>
      <c r="E845" s="66"/>
      <c r="F845" s="65"/>
      <c r="G845" s="67"/>
      <c r="H845" s="65"/>
      <c r="I845" s="65"/>
      <c r="J845" s="68"/>
      <c r="K845" s="68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5"/>
    </row>
    <row r="846" spans="1:36" ht="15.75" customHeight="1">
      <c r="A846" s="53"/>
      <c r="B846" s="65"/>
      <c r="C846" s="65"/>
      <c r="D846" s="65"/>
      <c r="E846" s="66"/>
      <c r="F846" s="65"/>
      <c r="G846" s="67"/>
      <c r="H846" s="65"/>
      <c r="I846" s="65"/>
      <c r="J846" s="68"/>
      <c r="K846" s="68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5"/>
    </row>
    <row r="847" spans="1:36" ht="15.75" customHeight="1">
      <c r="A847" s="53"/>
      <c r="B847" s="65"/>
      <c r="C847" s="65"/>
      <c r="D847" s="65"/>
      <c r="E847" s="66"/>
      <c r="F847" s="65"/>
      <c r="G847" s="67"/>
      <c r="H847" s="65"/>
      <c r="I847" s="65"/>
      <c r="J847" s="68"/>
      <c r="K847" s="68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5"/>
    </row>
    <row r="848" spans="1:36" ht="15.75" customHeight="1">
      <c r="A848" s="53"/>
      <c r="B848" s="65"/>
      <c r="C848" s="65"/>
      <c r="D848" s="65"/>
      <c r="E848" s="66"/>
      <c r="F848" s="65"/>
      <c r="G848" s="67"/>
      <c r="H848" s="65"/>
      <c r="I848" s="65"/>
      <c r="J848" s="68"/>
      <c r="K848" s="68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5"/>
    </row>
    <row r="849" spans="1:36" ht="15.75" customHeight="1">
      <c r="A849" s="53"/>
      <c r="B849" s="65"/>
      <c r="C849" s="65"/>
      <c r="D849" s="65"/>
      <c r="E849" s="66"/>
      <c r="F849" s="65"/>
      <c r="G849" s="67"/>
      <c r="H849" s="65"/>
      <c r="I849" s="65"/>
      <c r="J849" s="68"/>
      <c r="K849" s="68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5"/>
    </row>
    <row r="850" spans="1:36" ht="15.75" customHeight="1">
      <c r="A850" s="53"/>
      <c r="B850" s="65"/>
      <c r="C850" s="65"/>
      <c r="D850" s="65"/>
      <c r="E850" s="66"/>
      <c r="F850" s="65"/>
      <c r="G850" s="67"/>
      <c r="H850" s="65"/>
      <c r="I850" s="65"/>
      <c r="J850" s="68"/>
      <c r="K850" s="68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</row>
    <row r="851" spans="1:36" ht="15.75" customHeight="1">
      <c r="A851" s="53"/>
      <c r="B851" s="65"/>
      <c r="C851" s="65"/>
      <c r="D851" s="65"/>
      <c r="E851" s="66"/>
      <c r="F851" s="65"/>
      <c r="G851" s="67"/>
      <c r="H851" s="65"/>
      <c r="I851" s="65"/>
      <c r="J851" s="68"/>
      <c r="K851" s="68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5"/>
    </row>
    <row r="852" spans="1:36" ht="15.75" customHeight="1">
      <c r="A852" s="53"/>
      <c r="B852" s="65"/>
      <c r="C852" s="65"/>
      <c r="D852" s="65"/>
      <c r="E852" s="66"/>
      <c r="F852" s="65"/>
      <c r="G852" s="67"/>
      <c r="H852" s="65"/>
      <c r="I852" s="65"/>
      <c r="J852" s="68"/>
      <c r="K852" s="68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5"/>
    </row>
    <row r="853" spans="1:36" ht="15.75" customHeight="1">
      <c r="A853" s="53"/>
      <c r="B853" s="65"/>
      <c r="C853" s="65"/>
      <c r="D853" s="65"/>
      <c r="E853" s="66"/>
      <c r="F853" s="65"/>
      <c r="G853" s="67"/>
      <c r="H853" s="65"/>
      <c r="I853" s="65"/>
      <c r="J853" s="68"/>
      <c r="K853" s="68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</row>
    <row r="854" spans="1:36" ht="15.75" customHeight="1">
      <c r="A854" s="53"/>
      <c r="B854" s="65"/>
      <c r="C854" s="65"/>
      <c r="D854" s="65"/>
      <c r="E854" s="66"/>
      <c r="F854" s="65"/>
      <c r="G854" s="67"/>
      <c r="H854" s="65"/>
      <c r="I854" s="65"/>
      <c r="J854" s="68"/>
      <c r="K854" s="68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5"/>
    </row>
    <row r="855" spans="1:36" ht="15.75" customHeight="1">
      <c r="A855" s="53"/>
      <c r="B855" s="65"/>
      <c r="C855" s="65"/>
      <c r="D855" s="65"/>
      <c r="E855" s="66"/>
      <c r="F855" s="65"/>
      <c r="G855" s="67"/>
      <c r="H855" s="65"/>
      <c r="I855" s="65"/>
      <c r="J855" s="68"/>
      <c r="K855" s="68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5"/>
    </row>
    <row r="856" spans="1:36" ht="15.75" customHeight="1">
      <c r="A856" s="53"/>
      <c r="B856" s="65"/>
      <c r="C856" s="65"/>
      <c r="D856" s="65"/>
      <c r="E856" s="66"/>
      <c r="F856" s="65"/>
      <c r="G856" s="67"/>
      <c r="H856" s="65"/>
      <c r="I856" s="65"/>
      <c r="J856" s="68"/>
      <c r="K856" s="68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5"/>
    </row>
    <row r="857" spans="1:36" ht="15.75" customHeight="1">
      <c r="A857" s="53"/>
      <c r="B857" s="65"/>
      <c r="C857" s="65"/>
      <c r="D857" s="65"/>
      <c r="E857" s="66"/>
      <c r="F857" s="65"/>
      <c r="G857" s="67"/>
      <c r="H857" s="65"/>
      <c r="I857" s="65"/>
      <c r="J857" s="68"/>
      <c r="K857" s="68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5"/>
    </row>
    <row r="858" spans="1:36" ht="15.75" customHeight="1">
      <c r="A858" s="53"/>
      <c r="B858" s="65"/>
      <c r="C858" s="65"/>
      <c r="D858" s="65"/>
      <c r="E858" s="66"/>
      <c r="F858" s="65"/>
      <c r="G858" s="67"/>
      <c r="H858" s="65"/>
      <c r="I858" s="65"/>
      <c r="J858" s="68"/>
      <c r="K858" s="68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</row>
    <row r="859" spans="1:36" ht="15.75" customHeight="1">
      <c r="A859" s="53"/>
      <c r="B859" s="65"/>
      <c r="C859" s="65"/>
      <c r="D859" s="65"/>
      <c r="E859" s="66"/>
      <c r="F859" s="65"/>
      <c r="G859" s="67"/>
      <c r="H859" s="65"/>
      <c r="I859" s="65"/>
      <c r="J859" s="68"/>
      <c r="K859" s="68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5"/>
    </row>
    <row r="860" spans="1:36" ht="15.75" customHeight="1">
      <c r="A860" s="53"/>
      <c r="B860" s="65"/>
      <c r="C860" s="65"/>
      <c r="D860" s="65"/>
      <c r="E860" s="66"/>
      <c r="F860" s="65"/>
      <c r="G860" s="67"/>
      <c r="H860" s="65"/>
      <c r="I860" s="65"/>
      <c r="J860" s="68"/>
      <c r="K860" s="68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5"/>
    </row>
    <row r="861" spans="1:36" ht="15.75" customHeight="1">
      <c r="A861" s="53"/>
      <c r="B861" s="65"/>
      <c r="C861" s="65"/>
      <c r="D861" s="65"/>
      <c r="E861" s="66"/>
      <c r="F861" s="65"/>
      <c r="G861" s="67"/>
      <c r="H861" s="65"/>
      <c r="I861" s="65"/>
      <c r="J861" s="68"/>
      <c r="K861" s="68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5"/>
    </row>
    <row r="862" spans="1:36" ht="15.75" customHeight="1">
      <c r="A862" s="53"/>
      <c r="B862" s="65"/>
      <c r="C862" s="65"/>
      <c r="D862" s="65"/>
      <c r="E862" s="66"/>
      <c r="F862" s="65"/>
      <c r="G862" s="67"/>
      <c r="H862" s="65"/>
      <c r="I862" s="65"/>
      <c r="J862" s="68"/>
      <c r="K862" s="68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</row>
    <row r="863" spans="1:36" ht="15.75" customHeight="1">
      <c r="A863" s="53"/>
      <c r="B863" s="65"/>
      <c r="C863" s="65"/>
      <c r="D863" s="65"/>
      <c r="E863" s="66"/>
      <c r="F863" s="65"/>
      <c r="G863" s="67"/>
      <c r="H863" s="65"/>
      <c r="I863" s="65"/>
      <c r="J863" s="68"/>
      <c r="K863" s="68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</row>
    <row r="864" spans="1:36" ht="15.75" customHeight="1">
      <c r="A864" s="53"/>
      <c r="B864" s="65"/>
      <c r="C864" s="65"/>
      <c r="D864" s="65"/>
      <c r="E864" s="66"/>
      <c r="F864" s="65"/>
      <c r="G864" s="67"/>
      <c r="H864" s="65"/>
      <c r="I864" s="65"/>
      <c r="J864" s="68"/>
      <c r="K864" s="68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</row>
    <row r="865" spans="1:36" ht="15.75" customHeight="1">
      <c r="A865" s="53"/>
      <c r="B865" s="65"/>
      <c r="C865" s="65"/>
      <c r="D865" s="65"/>
      <c r="E865" s="66"/>
      <c r="F865" s="65"/>
      <c r="G865" s="67"/>
      <c r="H865" s="65"/>
      <c r="I865" s="65"/>
      <c r="J865" s="68"/>
      <c r="K865" s="68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</row>
    <row r="866" spans="1:36" ht="15.75" customHeight="1">
      <c r="A866" s="53"/>
      <c r="B866" s="65"/>
      <c r="C866" s="65"/>
      <c r="D866" s="65"/>
      <c r="E866" s="66"/>
      <c r="F866" s="65"/>
      <c r="G866" s="67"/>
      <c r="H866" s="65"/>
      <c r="I866" s="65"/>
      <c r="J866" s="68"/>
      <c r="K866" s="68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</row>
    <row r="867" spans="1:36" ht="15.75" customHeight="1">
      <c r="A867" s="53"/>
      <c r="B867" s="65"/>
      <c r="C867" s="65"/>
      <c r="D867" s="65"/>
      <c r="E867" s="66"/>
      <c r="F867" s="65"/>
      <c r="G867" s="67"/>
      <c r="H867" s="65"/>
      <c r="I867" s="65"/>
      <c r="J867" s="68"/>
      <c r="K867" s="68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</row>
    <row r="868" spans="1:36" ht="15.75" customHeight="1">
      <c r="A868" s="53"/>
      <c r="B868" s="65"/>
      <c r="C868" s="65"/>
      <c r="D868" s="65"/>
      <c r="E868" s="66"/>
      <c r="F868" s="65"/>
      <c r="G868" s="67"/>
      <c r="H868" s="65"/>
      <c r="I868" s="65"/>
      <c r="J868" s="68"/>
      <c r="K868" s="68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</row>
    <row r="869" spans="1:36" ht="15.75" customHeight="1">
      <c r="A869" s="53"/>
      <c r="B869" s="65"/>
      <c r="C869" s="65"/>
      <c r="D869" s="65"/>
      <c r="E869" s="66"/>
      <c r="F869" s="65"/>
      <c r="G869" s="67"/>
      <c r="H869" s="65"/>
      <c r="I869" s="65"/>
      <c r="J869" s="68"/>
      <c r="K869" s="68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5"/>
    </row>
    <row r="870" spans="1:36" ht="15.75" customHeight="1">
      <c r="A870" s="53"/>
      <c r="B870" s="65"/>
      <c r="C870" s="65"/>
      <c r="D870" s="65"/>
      <c r="E870" s="66"/>
      <c r="F870" s="65"/>
      <c r="G870" s="67"/>
      <c r="H870" s="65"/>
      <c r="I870" s="65"/>
      <c r="J870" s="68"/>
      <c r="K870" s="68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5"/>
    </row>
    <row r="871" spans="1:36" ht="15.75" customHeight="1">
      <c r="A871" s="53"/>
      <c r="B871" s="65"/>
      <c r="C871" s="65"/>
      <c r="D871" s="65"/>
      <c r="E871" s="66"/>
      <c r="F871" s="65"/>
      <c r="G871" s="67"/>
      <c r="H871" s="65"/>
      <c r="I871" s="65"/>
      <c r="J871" s="68"/>
      <c r="K871" s="68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5"/>
    </row>
    <row r="872" spans="1:36" ht="15.75" customHeight="1">
      <c r="A872" s="53"/>
      <c r="B872" s="65"/>
      <c r="C872" s="65"/>
      <c r="D872" s="65"/>
      <c r="E872" s="66"/>
      <c r="F872" s="65"/>
      <c r="G872" s="67"/>
      <c r="H872" s="65"/>
      <c r="I872" s="65"/>
      <c r="J872" s="68"/>
      <c r="K872" s="68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5"/>
    </row>
    <row r="873" spans="1:36" ht="15.75" customHeight="1">
      <c r="A873" s="53"/>
      <c r="B873" s="65"/>
      <c r="C873" s="65"/>
      <c r="D873" s="65"/>
      <c r="E873" s="66"/>
      <c r="F873" s="65"/>
      <c r="G873" s="67"/>
      <c r="H873" s="65"/>
      <c r="I873" s="65"/>
      <c r="J873" s="68"/>
      <c r="K873" s="68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5"/>
    </row>
    <row r="874" spans="1:36" ht="15.75" customHeight="1">
      <c r="A874" s="53"/>
      <c r="B874" s="65"/>
      <c r="C874" s="65"/>
      <c r="D874" s="65"/>
      <c r="E874" s="66"/>
      <c r="F874" s="65"/>
      <c r="G874" s="67"/>
      <c r="H874" s="65"/>
      <c r="I874" s="65"/>
      <c r="J874" s="68"/>
      <c r="K874" s="68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5"/>
    </row>
    <row r="875" spans="1:36" ht="15.75" customHeight="1">
      <c r="A875" s="53"/>
      <c r="B875" s="65"/>
      <c r="C875" s="65"/>
      <c r="D875" s="65"/>
      <c r="E875" s="66"/>
      <c r="F875" s="65"/>
      <c r="G875" s="67"/>
      <c r="H875" s="65"/>
      <c r="I875" s="65"/>
      <c r="J875" s="68"/>
      <c r="K875" s="68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5"/>
    </row>
    <row r="876" spans="1:36" ht="15.75" customHeight="1">
      <c r="A876" s="53"/>
      <c r="B876" s="65"/>
      <c r="C876" s="65"/>
      <c r="D876" s="65"/>
      <c r="E876" s="66"/>
      <c r="F876" s="65"/>
      <c r="G876" s="67"/>
      <c r="H876" s="65"/>
      <c r="I876" s="65"/>
      <c r="J876" s="68"/>
      <c r="K876" s="68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5"/>
    </row>
    <row r="877" spans="1:36" ht="15.75" customHeight="1">
      <c r="A877" s="53"/>
      <c r="B877" s="65"/>
      <c r="C877" s="65"/>
      <c r="D877" s="65"/>
      <c r="E877" s="66"/>
      <c r="F877" s="65"/>
      <c r="G877" s="67"/>
      <c r="H877" s="65"/>
      <c r="I877" s="65"/>
      <c r="J877" s="68"/>
      <c r="K877" s="68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5"/>
    </row>
    <row r="878" spans="1:36" ht="15.75" customHeight="1">
      <c r="A878" s="53"/>
      <c r="B878" s="65"/>
      <c r="C878" s="65"/>
      <c r="D878" s="65"/>
      <c r="E878" s="66"/>
      <c r="F878" s="65"/>
      <c r="G878" s="67"/>
      <c r="H878" s="65"/>
      <c r="I878" s="65"/>
      <c r="J878" s="68"/>
      <c r="K878" s="68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5"/>
    </row>
    <row r="879" spans="1:36" ht="15.75" customHeight="1">
      <c r="A879" s="53"/>
      <c r="B879" s="65"/>
      <c r="C879" s="65"/>
      <c r="D879" s="65"/>
      <c r="E879" s="66"/>
      <c r="F879" s="65"/>
      <c r="G879" s="67"/>
      <c r="H879" s="65"/>
      <c r="I879" s="65"/>
      <c r="J879" s="68"/>
      <c r="K879" s="68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5"/>
    </row>
    <row r="880" spans="1:36" ht="15.75" customHeight="1">
      <c r="A880" s="53"/>
      <c r="B880" s="65"/>
      <c r="C880" s="65"/>
      <c r="D880" s="65"/>
      <c r="E880" s="66"/>
      <c r="F880" s="65"/>
      <c r="G880" s="67"/>
      <c r="H880" s="65"/>
      <c r="I880" s="65"/>
      <c r="J880" s="68"/>
      <c r="K880" s="68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</row>
    <row r="881" spans="1:36" ht="15.75" customHeight="1">
      <c r="A881" s="53"/>
      <c r="B881" s="65"/>
      <c r="C881" s="65"/>
      <c r="D881" s="65"/>
      <c r="E881" s="66"/>
      <c r="F881" s="65"/>
      <c r="G881" s="67"/>
      <c r="H881" s="65"/>
      <c r="I881" s="65"/>
      <c r="J881" s="68"/>
      <c r="K881" s="68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  <c r="AJ881" s="65"/>
    </row>
    <row r="882" spans="1:36" ht="15.75" customHeight="1">
      <c r="A882" s="53"/>
      <c r="B882" s="65"/>
      <c r="C882" s="65"/>
      <c r="D882" s="65"/>
      <c r="E882" s="66"/>
      <c r="F882" s="65"/>
      <c r="G882" s="67"/>
      <c r="H882" s="65"/>
      <c r="I882" s="65"/>
      <c r="J882" s="68"/>
      <c r="K882" s="68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  <c r="AJ882" s="65"/>
    </row>
    <row r="883" spans="1:36" ht="15.75" customHeight="1">
      <c r="A883" s="53"/>
      <c r="B883" s="65"/>
      <c r="C883" s="65"/>
      <c r="D883" s="65"/>
      <c r="E883" s="66"/>
      <c r="F883" s="65"/>
      <c r="G883" s="67"/>
      <c r="H883" s="65"/>
      <c r="I883" s="65"/>
      <c r="J883" s="68"/>
      <c r="K883" s="68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  <c r="AJ883" s="65"/>
    </row>
    <row r="884" spans="1:36" ht="15.75" customHeight="1">
      <c r="A884" s="53"/>
      <c r="B884" s="65"/>
      <c r="C884" s="65"/>
      <c r="D884" s="65"/>
      <c r="E884" s="66"/>
      <c r="F884" s="65"/>
      <c r="G884" s="67"/>
      <c r="H884" s="65"/>
      <c r="I884" s="65"/>
      <c r="J884" s="68"/>
      <c r="K884" s="68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  <c r="AJ884" s="65"/>
    </row>
    <row r="885" spans="1:36" ht="15.75" customHeight="1">
      <c r="A885" s="53"/>
      <c r="B885" s="65"/>
      <c r="C885" s="65"/>
      <c r="D885" s="65"/>
      <c r="E885" s="66"/>
      <c r="F885" s="65"/>
      <c r="G885" s="67"/>
      <c r="H885" s="65"/>
      <c r="I885" s="65"/>
      <c r="J885" s="68"/>
      <c r="K885" s="68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  <c r="AJ885" s="65"/>
    </row>
    <row r="886" spans="1:36" ht="15.75" customHeight="1">
      <c r="A886" s="53"/>
      <c r="B886" s="65"/>
      <c r="C886" s="65"/>
      <c r="D886" s="65"/>
      <c r="E886" s="66"/>
      <c r="F886" s="65"/>
      <c r="G886" s="67"/>
      <c r="H886" s="65"/>
      <c r="I886" s="65"/>
      <c r="J886" s="68"/>
      <c r="K886" s="68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  <c r="AJ886" s="65"/>
    </row>
    <row r="887" spans="1:36" ht="15.75" customHeight="1">
      <c r="A887" s="53"/>
      <c r="B887" s="65"/>
      <c r="C887" s="65"/>
      <c r="D887" s="65"/>
      <c r="E887" s="66"/>
      <c r="F887" s="65"/>
      <c r="G887" s="67"/>
      <c r="H887" s="65"/>
      <c r="I887" s="65"/>
      <c r="J887" s="68"/>
      <c r="K887" s="68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  <c r="AJ887" s="65"/>
    </row>
  </sheetData>
  <customSheetViews>
    <customSheetView guid="{60527C34-A1EA-4DFE-985A-D006A87C66A5}" filter="1" showAutoFilter="1">
      <pageMargins left="0.7" right="0.7" top="0.75" bottom="0.75" header="0.3" footer="0.3"/>
      <autoFilter ref="A1:AJ146" xr:uid="{4A54366D-5DF1-41C4-934C-6434AFBF0D98}"/>
    </customSheetView>
  </customSheetViews>
  <conditionalFormatting sqref="F2:F46 I2:N145 W9 B26:B28 G27 O30:O32 Q30:Q32 S30:S32 U30:U32 G32 B32:B35 G34:G35 W36 B37 W38 B40 G40 W40 W42:W43 Q42:Q44 B43 G43 B46 G46 T3:T145">
    <cfRule type="notContainsBlanks" dxfId="2" priority="2">
      <formula>LEN(TRIM(F2))&gt;0</formula>
    </cfRule>
  </conditionalFormatting>
  <conditionalFormatting sqref="G2:G59 B2:B145 F2:G145 L2:L145 N24:N145 W36 M36:M59 W38 W40 W42:W43">
    <cfRule type="notContainsBlanks" dxfId="5" priority="3">
      <formula>LEN(TRIM(B2))&gt;0</formula>
    </cfRule>
  </conditionalFormatting>
  <conditionalFormatting sqref="O2:O145 Q2:Q145 P16:P19 R16:R19 P29:P38 R30:R145 P40:P44 P47:P49 S2:U145 V2:V146">
    <cfRule type="cellIs" dxfId="1" priority="5" operator="between">
      <formula>1</formula>
      <formula>31</formula>
    </cfRule>
  </conditionalFormatting>
  <conditionalFormatting sqref="O2:U145 V2:V146">
    <cfRule type="notContainsBlanks" dxfId="0" priority="1">
      <formula>LEN(TRIM(O2))&gt;0</formula>
    </cfRule>
  </conditionalFormatting>
  <conditionalFormatting sqref="S23 U23 U48">
    <cfRule type="notContainsBlanks" dxfId="4" priority="6">
      <formula>LEN(TRIM(S23))&gt;0</formula>
    </cfRule>
  </conditionalFormatting>
  <dataValidations count="2">
    <dataValidation type="list" allowBlank="1" showErrorMessage="1" sqref="J2:K145" xr:uid="{00000000-0002-0000-0000-000001000000}">
      <formula1>"Согласовано,Не согласовано"</formula1>
    </dataValidation>
    <dataValidation type="list" allowBlank="1" showErrorMessage="1" sqref="F2:F145" xr:uid="{00000000-0002-0000-0000-000004000000}">
      <formula1>"авто,ж/д,авиа"</formula1>
    </dataValidation>
  </dataValidations>
  <pageMargins left="0.19685039370078738" right="0.19685039370078738" top="0.62992125984251968" bottom="0.62992125984251968" header="0" footer="0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'Расстояние между городами'!$C:$C</xm:f>
          </x14:formula1>
          <xm:sqref>G2:G24 G26:G145</xm:sqref>
        </x14:dataValidation>
        <x14:dataValidation type="list" allowBlank="1" showErrorMessage="1" xr:uid="{00000000-0002-0000-0000-000002000000}">
          <x14:formula1>
            <xm:f>Инфо!$O$3:$O$33</xm:f>
          </x14:formula1>
          <xm:sqref>O2:O145 Q2:Q145 S2:S145 U2:U145</xm:sqref>
        </x14:dataValidation>
        <x14:dataValidation type="list" allowBlank="1" showDropDown="1" showErrorMessage="1" xr:uid="{00000000-0002-0000-0000-000003000000}">
          <x14:formula1>
            <xm:f>Инфо!$A$3:$A$85</xm:f>
          </x14:formula1>
          <xm:sqref>B2:B145</xm:sqref>
        </x14:dataValidation>
        <x14:dataValidation type="list" allowBlank="1" showDropDown="1" showErrorMessage="1" xr:uid="{00000000-0002-0000-0000-000005000000}">
          <x14:formula1>
            <xm:f>Инфо!$P$3:$P$28</xm:f>
          </x14:formula1>
          <xm:sqref>V2:V145 T2:T145 P2:P145 R2:R145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  <pageSetUpPr fitToPage="1"/>
  </sheetPr>
  <dimension ref="A1:F866"/>
  <sheetViews>
    <sheetView showGridLines="0" workbookViewId="0"/>
  </sheetViews>
  <sheetFormatPr defaultColWidth="14.42578125" defaultRowHeight="15" customHeight="1"/>
  <cols>
    <col min="1" max="1" width="51.7109375" customWidth="1"/>
    <col min="2" max="2" width="12.140625" customWidth="1"/>
    <col min="3" max="3" width="14" customWidth="1"/>
    <col min="4" max="4" width="72" customWidth="1"/>
    <col min="5" max="5" width="14.140625" customWidth="1"/>
    <col min="6" max="6" width="12.28515625" customWidth="1"/>
  </cols>
  <sheetData>
    <row r="1" spans="1:6" ht="17.25">
      <c r="A1" s="69" t="str">
        <f ca="1">"План командировок Отдела продаж МП "&amp;VLOOKUP('Отдел Продаж МП  '!A1,Инфо!K:L,2,0)&amp;"-"&amp;TEXT(TODAY(),"yy")</f>
        <v>План командировок Отдела продаж МП Дек-yy</v>
      </c>
      <c r="B1" s="70"/>
      <c r="C1" s="70"/>
      <c r="D1" s="70"/>
      <c r="E1" s="70"/>
      <c r="F1" s="71"/>
    </row>
    <row r="2" spans="1:6">
      <c r="A2" s="184" t="s">
        <v>9</v>
      </c>
      <c r="B2" s="185" t="s">
        <v>37</v>
      </c>
    </row>
    <row r="3" spans="1:6"/>
    <row r="4" spans="1:6">
      <c r="A4" s="175" t="s">
        <v>0</v>
      </c>
      <c r="B4" s="175" t="s">
        <v>1</v>
      </c>
      <c r="C4" s="175" t="s">
        <v>3</v>
      </c>
      <c r="D4" s="175" t="s">
        <v>5</v>
      </c>
      <c r="E4" s="175" t="s">
        <v>4</v>
      </c>
      <c r="F4" s="176" t="s">
        <v>81</v>
      </c>
    </row>
    <row r="5" spans="1:6">
      <c r="A5" s="177" t="s">
        <v>34</v>
      </c>
      <c r="B5" s="177" t="s">
        <v>82</v>
      </c>
      <c r="C5" s="177" t="s">
        <v>83</v>
      </c>
      <c r="D5" s="177" t="s">
        <v>40</v>
      </c>
      <c r="E5" s="177" t="s">
        <v>35</v>
      </c>
      <c r="F5" s="178">
        <v>0</v>
      </c>
    </row>
    <row r="6" spans="1:6" hidden="1">
      <c r="A6" s="179"/>
      <c r="B6" s="179"/>
      <c r="C6" s="177" t="s">
        <v>84</v>
      </c>
      <c r="D6" s="177" t="s">
        <v>36</v>
      </c>
      <c r="E6" s="177" t="s">
        <v>35</v>
      </c>
      <c r="F6" s="178">
        <v>0</v>
      </c>
    </row>
    <row r="7" spans="1:6" hidden="1">
      <c r="A7" s="179"/>
      <c r="B7" s="179"/>
      <c r="C7" s="177" t="s">
        <v>85</v>
      </c>
      <c r="D7" s="177" t="s">
        <v>39</v>
      </c>
      <c r="E7" s="177" t="s">
        <v>35</v>
      </c>
      <c r="F7" s="178">
        <v>0</v>
      </c>
    </row>
    <row r="8" spans="1:6" hidden="1">
      <c r="A8" s="179"/>
      <c r="B8" s="179"/>
      <c r="C8" s="177" t="s">
        <v>86</v>
      </c>
      <c r="D8" s="177" t="s">
        <v>40</v>
      </c>
      <c r="E8" s="177" t="s">
        <v>35</v>
      </c>
      <c r="F8" s="178">
        <v>0</v>
      </c>
    </row>
    <row r="9" spans="1:6" hidden="1">
      <c r="A9" s="179"/>
      <c r="B9" s="179"/>
      <c r="C9" s="177" t="s">
        <v>87</v>
      </c>
      <c r="D9" s="177" t="s">
        <v>36</v>
      </c>
      <c r="E9" s="177" t="s">
        <v>35</v>
      </c>
      <c r="F9" s="178">
        <v>0</v>
      </c>
    </row>
    <row r="10" spans="1:6" hidden="1">
      <c r="A10" s="179"/>
      <c r="B10" s="179"/>
      <c r="C10" s="177" t="s">
        <v>88</v>
      </c>
      <c r="D10" s="177" t="s">
        <v>39</v>
      </c>
      <c r="E10" s="177" t="s">
        <v>35</v>
      </c>
      <c r="F10" s="178">
        <v>0</v>
      </c>
    </row>
    <row r="11" spans="1:6" hidden="1">
      <c r="A11" s="177" t="s">
        <v>759</v>
      </c>
      <c r="B11" s="180"/>
      <c r="C11" s="180"/>
      <c r="D11" s="180"/>
      <c r="E11" s="180"/>
      <c r="F11" s="178">
        <v>0</v>
      </c>
    </row>
    <row r="12" spans="1:6" hidden="1">
      <c r="A12" s="177" t="s">
        <v>51</v>
      </c>
      <c r="B12" s="177" t="s">
        <v>82</v>
      </c>
      <c r="C12" s="177" t="s">
        <v>89</v>
      </c>
      <c r="D12" s="177" t="s">
        <v>52</v>
      </c>
      <c r="E12" s="177" t="s">
        <v>35</v>
      </c>
      <c r="F12" s="178">
        <v>3400</v>
      </c>
    </row>
    <row r="13" spans="1:6" hidden="1">
      <c r="A13" s="179"/>
      <c r="B13" s="179"/>
      <c r="C13" s="177" t="s">
        <v>90</v>
      </c>
      <c r="D13" s="177" t="s">
        <v>52</v>
      </c>
      <c r="E13" s="177" t="s">
        <v>35</v>
      </c>
      <c r="F13" s="178">
        <v>3400</v>
      </c>
    </row>
    <row r="14" spans="1:6" hidden="1">
      <c r="A14" s="177" t="s">
        <v>760</v>
      </c>
      <c r="B14" s="180"/>
      <c r="C14" s="180"/>
      <c r="D14" s="180"/>
      <c r="E14" s="180"/>
      <c r="F14" s="178">
        <v>6800</v>
      </c>
    </row>
    <row r="15" spans="1:6" hidden="1">
      <c r="A15" s="177" t="s">
        <v>46</v>
      </c>
      <c r="B15" s="177" t="s">
        <v>82</v>
      </c>
      <c r="C15" s="177" t="s">
        <v>91</v>
      </c>
      <c r="D15" s="177" t="s">
        <v>47</v>
      </c>
      <c r="E15" s="177" t="s">
        <v>35</v>
      </c>
      <c r="F15" s="178">
        <v>5100</v>
      </c>
    </row>
    <row r="16" spans="1:6" hidden="1">
      <c r="A16" s="177" t="s">
        <v>761</v>
      </c>
      <c r="B16" s="180"/>
      <c r="C16" s="180"/>
      <c r="D16" s="180"/>
      <c r="E16" s="180"/>
      <c r="F16" s="178">
        <v>5100</v>
      </c>
    </row>
    <row r="17" spans="1:6" hidden="1">
      <c r="A17" s="181" t="s">
        <v>762</v>
      </c>
      <c r="B17" s="182"/>
      <c r="C17" s="182"/>
      <c r="D17" s="182"/>
      <c r="E17" s="182"/>
      <c r="F17" s="183">
        <v>11900</v>
      </c>
    </row>
    <row r="18" spans="1:6" hidden="1">
      <c r="A18" s="72"/>
      <c r="B18" s="72"/>
      <c r="C18" s="72"/>
      <c r="D18" s="72"/>
      <c r="E18" s="72"/>
      <c r="F18" s="72"/>
    </row>
    <row r="19" spans="1:6" hidden="1">
      <c r="A19" s="72"/>
      <c r="B19" s="72"/>
      <c r="C19" s="72"/>
      <c r="D19" s="72"/>
      <c r="E19" s="72"/>
      <c r="F19" s="72"/>
    </row>
    <row r="20" spans="1:6" hidden="1">
      <c r="A20" s="72"/>
      <c r="B20" s="72"/>
      <c r="C20" s="72"/>
      <c r="D20" s="72"/>
      <c r="E20" s="72"/>
      <c r="F20" s="72"/>
    </row>
    <row r="21" spans="1:6">
      <c r="A21" s="72"/>
      <c r="B21" s="72"/>
      <c r="C21" s="72"/>
      <c r="D21" s="72"/>
      <c r="E21" s="72"/>
      <c r="F21" s="72"/>
    </row>
    <row r="22" spans="1:6" hidden="1">
      <c r="A22" s="72"/>
      <c r="B22" s="72"/>
      <c r="C22" s="72"/>
      <c r="D22" s="72"/>
      <c r="E22" s="72"/>
      <c r="F22" s="72"/>
    </row>
    <row r="23" spans="1:6" hidden="1">
      <c r="A23" s="72"/>
      <c r="B23" s="72"/>
      <c r="C23" s="72"/>
      <c r="D23" s="72"/>
      <c r="E23" s="72"/>
      <c r="F23" s="72"/>
    </row>
    <row r="24" spans="1:6" hidden="1">
      <c r="A24" s="72"/>
      <c r="B24" s="72"/>
      <c r="C24" s="72"/>
      <c r="D24" s="72"/>
      <c r="E24" s="72"/>
      <c r="F24" s="72"/>
    </row>
    <row r="25" spans="1:6">
      <c r="A25" s="72"/>
      <c r="B25" s="72"/>
      <c r="C25" s="72"/>
      <c r="D25" s="72"/>
      <c r="E25" s="72"/>
      <c r="F25" s="72"/>
    </row>
    <row r="26" spans="1:6" hidden="1">
      <c r="A26" s="72"/>
      <c r="B26" s="72"/>
      <c r="C26" s="72"/>
      <c r="D26" s="72"/>
      <c r="E26" s="72"/>
      <c r="F26" s="72"/>
    </row>
    <row r="27" spans="1:6" hidden="1">
      <c r="A27" s="72"/>
      <c r="B27" s="72"/>
      <c r="C27" s="72"/>
      <c r="D27" s="72"/>
      <c r="E27" s="72"/>
      <c r="F27" s="72"/>
    </row>
    <row r="28" spans="1:6" hidden="1">
      <c r="A28" s="72"/>
      <c r="B28" s="72"/>
      <c r="C28" s="72"/>
      <c r="D28" s="72"/>
      <c r="E28" s="72"/>
      <c r="F28" s="72"/>
    </row>
    <row r="29" spans="1:6" hidden="1">
      <c r="A29" s="72"/>
      <c r="B29" s="72"/>
      <c r="C29" s="72"/>
      <c r="D29" s="72"/>
      <c r="E29" s="72"/>
      <c r="F29" s="72"/>
    </row>
    <row r="30" spans="1:6" hidden="1">
      <c r="A30" s="72"/>
      <c r="B30" s="72"/>
      <c r="C30" s="72"/>
      <c r="D30" s="72"/>
      <c r="E30" s="72"/>
      <c r="F30" s="72"/>
    </row>
    <row r="31" spans="1:6" hidden="1">
      <c r="A31" s="72"/>
      <c r="B31" s="72"/>
      <c r="C31" s="72"/>
      <c r="D31" s="72"/>
      <c r="E31" s="72"/>
      <c r="F31" s="72"/>
    </row>
    <row r="32" spans="1:6" hidden="1">
      <c r="A32" s="72"/>
      <c r="B32" s="72"/>
      <c r="C32" s="72"/>
      <c r="D32" s="72"/>
      <c r="E32" s="72"/>
      <c r="F32" s="72"/>
    </row>
    <row r="33" spans="1:6" hidden="1">
      <c r="A33" s="72"/>
      <c r="B33" s="72"/>
      <c r="C33" s="72"/>
      <c r="D33" s="72"/>
      <c r="E33" s="72"/>
      <c r="F33" s="72"/>
    </row>
    <row r="34" spans="1:6" hidden="1">
      <c r="A34" s="72"/>
      <c r="B34" s="72"/>
      <c r="C34" s="72"/>
      <c r="D34" s="72"/>
      <c r="E34" s="72"/>
      <c r="F34" s="72"/>
    </row>
    <row r="35" spans="1:6" hidden="1">
      <c r="A35" s="72"/>
      <c r="B35" s="72"/>
      <c r="C35" s="72"/>
      <c r="D35" s="72"/>
      <c r="E35" s="72"/>
      <c r="F35" s="72"/>
    </row>
    <row r="36" spans="1:6" hidden="1">
      <c r="A36" s="72"/>
      <c r="B36" s="72"/>
      <c r="C36" s="72"/>
      <c r="D36" s="72"/>
      <c r="E36" s="72"/>
      <c r="F36" s="72"/>
    </row>
    <row r="37" spans="1:6">
      <c r="A37" s="72"/>
      <c r="B37" s="72"/>
      <c r="C37" s="72"/>
      <c r="D37" s="72"/>
      <c r="E37" s="72"/>
      <c r="F37" s="72"/>
    </row>
    <row r="38" spans="1:6">
      <c r="A38" s="72"/>
      <c r="B38" s="72"/>
      <c r="C38" s="72"/>
      <c r="D38" s="72"/>
      <c r="E38" s="72"/>
      <c r="F38" s="72"/>
    </row>
    <row r="39" spans="1:6">
      <c r="A39" s="72"/>
      <c r="B39" s="72"/>
      <c r="C39" s="72"/>
      <c r="D39" s="72"/>
      <c r="E39" s="72"/>
      <c r="F39" s="72"/>
    </row>
    <row r="40" spans="1:6">
      <c r="A40" s="72"/>
      <c r="B40" s="72"/>
      <c r="C40" s="72"/>
      <c r="D40" s="72"/>
      <c r="E40" s="72"/>
      <c r="F40" s="72"/>
    </row>
    <row r="41" spans="1:6" hidden="1">
      <c r="A41" s="72"/>
      <c r="B41" s="72"/>
      <c r="C41" s="72"/>
      <c r="D41" s="72"/>
      <c r="E41" s="72"/>
      <c r="F41" s="72"/>
    </row>
    <row r="42" spans="1:6">
      <c r="A42" s="72"/>
      <c r="B42" s="72"/>
      <c r="C42" s="72"/>
      <c r="D42" s="72"/>
      <c r="E42" s="72"/>
      <c r="F42" s="72"/>
    </row>
    <row r="43" spans="1:6" hidden="1">
      <c r="A43" s="72"/>
      <c r="B43" s="72"/>
      <c r="C43" s="72"/>
      <c r="D43" s="72"/>
      <c r="E43" s="72"/>
      <c r="F43" s="72"/>
    </row>
    <row r="44" spans="1:6" hidden="1">
      <c r="A44" s="72"/>
      <c r="B44" s="72"/>
      <c r="C44" s="72"/>
      <c r="D44" s="72"/>
      <c r="E44" s="72"/>
      <c r="F44" s="72"/>
    </row>
    <row r="45" spans="1:6" hidden="1">
      <c r="A45" s="72"/>
      <c r="B45" s="72"/>
      <c r="C45" s="72"/>
      <c r="D45" s="72"/>
      <c r="E45" s="72"/>
      <c r="F45" s="72"/>
    </row>
    <row r="46" spans="1:6" hidden="1">
      <c r="A46" s="72"/>
      <c r="B46" s="72"/>
      <c r="C46" s="72"/>
      <c r="D46" s="72"/>
      <c r="E46" s="72"/>
      <c r="F46" s="72"/>
    </row>
    <row r="47" spans="1:6" hidden="1">
      <c r="A47" s="72"/>
      <c r="B47" s="72"/>
      <c r="C47" s="72"/>
      <c r="D47" s="72"/>
      <c r="E47" s="72"/>
      <c r="F47" s="72"/>
    </row>
    <row r="48" spans="1:6" hidden="1">
      <c r="A48" s="72"/>
      <c r="B48" s="72"/>
      <c r="C48" s="72"/>
      <c r="D48" s="72"/>
      <c r="E48" s="72"/>
      <c r="F48" s="72"/>
    </row>
    <row r="49" spans="1:6" hidden="1">
      <c r="A49" s="72"/>
      <c r="B49" s="72"/>
      <c r="C49" s="72"/>
      <c r="D49" s="72"/>
      <c r="E49" s="72"/>
      <c r="F49" s="72"/>
    </row>
    <row r="50" spans="1:6" hidden="1">
      <c r="A50" s="72"/>
      <c r="B50" s="72"/>
      <c r="C50" s="72"/>
      <c r="D50" s="72"/>
      <c r="E50" s="72"/>
      <c r="F50" s="72"/>
    </row>
    <row r="51" spans="1:6" hidden="1">
      <c r="A51" s="72"/>
      <c r="B51" s="72"/>
      <c r="C51" s="72"/>
      <c r="D51" s="72"/>
      <c r="E51" s="72"/>
      <c r="F51" s="72"/>
    </row>
    <row r="52" spans="1:6" hidden="1">
      <c r="A52" s="72"/>
      <c r="B52" s="72"/>
      <c r="C52" s="72"/>
      <c r="D52" s="72"/>
      <c r="E52" s="72"/>
      <c r="F52" s="72"/>
    </row>
    <row r="53" spans="1:6" hidden="1">
      <c r="A53" s="72"/>
      <c r="B53" s="72"/>
      <c r="C53" s="72"/>
      <c r="D53" s="72"/>
      <c r="E53" s="72"/>
      <c r="F53" s="72"/>
    </row>
    <row r="54" spans="1:6" hidden="1">
      <c r="A54" s="72"/>
      <c r="B54" s="72"/>
      <c r="C54" s="72"/>
      <c r="D54" s="72"/>
      <c r="E54" s="72"/>
      <c r="F54" s="72"/>
    </row>
    <row r="55" spans="1:6" hidden="1">
      <c r="A55" s="72"/>
      <c r="B55" s="72"/>
      <c r="C55" s="72"/>
      <c r="D55" s="72"/>
      <c r="E55" s="72"/>
      <c r="F55" s="72"/>
    </row>
    <row r="56" spans="1:6" hidden="1">
      <c r="A56" s="72"/>
      <c r="B56" s="72"/>
      <c r="C56" s="72"/>
      <c r="D56" s="72"/>
      <c r="E56" s="72"/>
      <c r="F56" s="72"/>
    </row>
    <row r="57" spans="1:6" hidden="1">
      <c r="A57" s="72"/>
      <c r="B57" s="72"/>
      <c r="C57" s="72"/>
      <c r="D57" s="72"/>
      <c r="E57" s="72"/>
      <c r="F57" s="72"/>
    </row>
    <row r="58" spans="1:6" hidden="1">
      <c r="A58" s="72"/>
      <c r="B58" s="72"/>
      <c r="C58" s="72"/>
      <c r="D58" s="72"/>
      <c r="E58" s="72"/>
      <c r="F58" s="72"/>
    </row>
    <row r="59" spans="1:6" hidden="1">
      <c r="A59" s="72"/>
      <c r="B59" s="72"/>
      <c r="C59" s="72"/>
      <c r="D59" s="72"/>
      <c r="E59" s="72"/>
      <c r="F59" s="72"/>
    </row>
    <row r="60" spans="1:6" hidden="1">
      <c r="A60" s="72"/>
      <c r="B60" s="72"/>
      <c r="C60" s="72"/>
      <c r="D60" s="72"/>
      <c r="E60" s="72"/>
      <c r="F60" s="72"/>
    </row>
    <row r="61" spans="1:6" hidden="1">
      <c r="A61" s="72"/>
      <c r="B61" s="72"/>
      <c r="C61" s="72"/>
      <c r="D61" s="72"/>
      <c r="E61" s="72"/>
      <c r="F61" s="72"/>
    </row>
    <row r="62" spans="1:6" hidden="1">
      <c r="A62" s="72"/>
      <c r="B62" s="72"/>
      <c r="C62" s="72"/>
      <c r="D62" s="72"/>
      <c r="E62" s="72"/>
      <c r="F62" s="72"/>
    </row>
    <row r="63" spans="1:6" hidden="1">
      <c r="A63" s="72"/>
      <c r="B63" s="72"/>
      <c r="C63" s="72"/>
      <c r="D63" s="72"/>
      <c r="E63" s="72"/>
      <c r="F63" s="72"/>
    </row>
    <row r="64" spans="1:6" hidden="1">
      <c r="A64" s="72"/>
      <c r="B64" s="72"/>
      <c r="C64" s="72"/>
      <c r="D64" s="72"/>
      <c r="E64" s="72"/>
      <c r="F64" s="72"/>
    </row>
    <row r="65" spans="1:6" hidden="1">
      <c r="A65" s="72"/>
      <c r="B65" s="72"/>
      <c r="C65" s="72"/>
      <c r="D65" s="72"/>
      <c r="E65" s="72"/>
      <c r="F65" s="72"/>
    </row>
    <row r="66" spans="1:6">
      <c r="A66" s="72"/>
      <c r="B66" s="72"/>
      <c r="C66" s="72"/>
      <c r="D66" s="72"/>
      <c r="E66" s="72"/>
      <c r="F66" s="72"/>
    </row>
    <row r="67" spans="1:6" hidden="1">
      <c r="A67" s="72"/>
      <c r="B67" s="72"/>
      <c r="C67" s="72"/>
      <c r="D67" s="72"/>
      <c r="E67" s="72"/>
      <c r="F67" s="72"/>
    </row>
    <row r="68" spans="1:6" hidden="1">
      <c r="A68" s="72"/>
      <c r="B68" s="72"/>
      <c r="C68" s="72"/>
      <c r="D68" s="72"/>
      <c r="E68" s="72"/>
      <c r="F68" s="72"/>
    </row>
    <row r="69" spans="1:6">
      <c r="A69" s="72"/>
      <c r="B69" s="72"/>
      <c r="C69" s="72"/>
      <c r="D69" s="72"/>
      <c r="E69" s="72"/>
      <c r="F69" s="72"/>
    </row>
    <row r="70" spans="1:6" hidden="1">
      <c r="A70" s="72"/>
      <c r="B70" s="72"/>
      <c r="C70" s="72"/>
      <c r="D70" s="72"/>
      <c r="E70" s="72"/>
      <c r="F70" s="72"/>
    </row>
    <row r="71" spans="1:6" hidden="1">
      <c r="A71" s="72"/>
      <c r="B71" s="72"/>
      <c r="C71" s="72"/>
      <c r="D71" s="72"/>
      <c r="E71" s="72"/>
      <c r="F71" s="72"/>
    </row>
    <row r="72" spans="1:6">
      <c r="A72" s="72"/>
      <c r="B72" s="72"/>
      <c r="C72" s="72"/>
      <c r="D72" s="72"/>
      <c r="E72" s="72"/>
      <c r="F72" s="72"/>
    </row>
    <row r="73" spans="1:6">
      <c r="A73" s="72"/>
      <c r="B73" s="72"/>
      <c r="C73" s="72"/>
      <c r="D73" s="72"/>
      <c r="E73" s="72"/>
      <c r="F73" s="72"/>
    </row>
    <row r="74" spans="1:6">
      <c r="A74" s="72"/>
      <c r="B74" s="72"/>
      <c r="C74" s="72"/>
      <c r="D74" s="72"/>
      <c r="E74" s="72"/>
      <c r="F74" s="72"/>
    </row>
    <row r="75" spans="1:6">
      <c r="A75" s="72"/>
      <c r="B75" s="72"/>
      <c r="C75" s="72"/>
      <c r="D75" s="72"/>
      <c r="E75" s="72"/>
      <c r="F75" s="72"/>
    </row>
    <row r="76" spans="1:6">
      <c r="A76" s="72"/>
      <c r="B76" s="72"/>
      <c r="C76" s="72"/>
      <c r="D76" s="72"/>
      <c r="E76" s="72"/>
      <c r="F76" s="72"/>
    </row>
    <row r="77" spans="1:6">
      <c r="A77" s="72"/>
      <c r="B77" s="72"/>
      <c r="C77" s="72"/>
      <c r="D77" s="72"/>
      <c r="E77" s="72"/>
      <c r="F77" s="72"/>
    </row>
    <row r="78" spans="1:6">
      <c r="A78" s="72"/>
      <c r="B78" s="72"/>
      <c r="C78" s="72"/>
      <c r="D78" s="72"/>
      <c r="E78" s="72"/>
      <c r="F78" s="72"/>
    </row>
    <row r="79" spans="1:6" hidden="1">
      <c r="A79" s="72"/>
      <c r="B79" s="72"/>
      <c r="C79" s="72"/>
      <c r="D79" s="72"/>
      <c r="E79" s="72"/>
      <c r="F79" s="72"/>
    </row>
    <row r="80" spans="1:6" hidden="1">
      <c r="A80" s="72"/>
      <c r="B80" s="72"/>
      <c r="C80" s="72"/>
      <c r="D80" s="72"/>
      <c r="E80" s="72"/>
      <c r="F80" s="72"/>
    </row>
    <row r="81" spans="1:6" hidden="1">
      <c r="A81" s="72"/>
      <c r="B81" s="72"/>
      <c r="C81" s="72"/>
      <c r="D81" s="72"/>
      <c r="E81" s="72"/>
      <c r="F81" s="72"/>
    </row>
    <row r="82" spans="1:6" hidden="1">
      <c r="A82" s="72"/>
      <c r="B82" s="72"/>
      <c r="C82" s="72"/>
      <c r="D82" s="72"/>
      <c r="E82" s="72"/>
      <c r="F82" s="72"/>
    </row>
    <row r="83" spans="1:6" hidden="1">
      <c r="A83" s="72"/>
      <c r="B83" s="72"/>
      <c r="C83" s="72"/>
      <c r="D83" s="72"/>
      <c r="E83" s="72"/>
      <c r="F83" s="72"/>
    </row>
    <row r="84" spans="1:6" hidden="1">
      <c r="A84" s="72"/>
      <c r="B84" s="72"/>
      <c r="C84" s="72"/>
      <c r="D84" s="72"/>
      <c r="E84" s="72"/>
      <c r="F84" s="72"/>
    </row>
    <row r="85" spans="1:6" hidden="1">
      <c r="A85" s="72"/>
      <c r="B85" s="72"/>
      <c r="C85" s="72"/>
      <c r="D85" s="72"/>
      <c r="E85" s="72"/>
      <c r="F85" s="72"/>
    </row>
    <row r="86" spans="1:6" hidden="1">
      <c r="A86" s="72"/>
      <c r="B86" s="72"/>
      <c r="C86" s="72"/>
      <c r="D86" s="72"/>
      <c r="E86" s="72"/>
      <c r="F86" s="72"/>
    </row>
    <row r="87" spans="1:6" hidden="1">
      <c r="A87" s="72"/>
      <c r="B87" s="72"/>
      <c r="C87" s="72"/>
      <c r="D87" s="72"/>
      <c r="E87" s="72"/>
      <c r="F87" s="72"/>
    </row>
    <row r="88" spans="1:6" hidden="1">
      <c r="A88" s="72"/>
      <c r="B88" s="72"/>
      <c r="C88" s="72"/>
      <c r="D88" s="72"/>
      <c r="E88" s="72"/>
      <c r="F88" s="72"/>
    </row>
    <row r="89" spans="1:6" hidden="1">
      <c r="A89" s="72"/>
      <c r="B89" s="72"/>
      <c r="C89" s="72"/>
      <c r="D89" s="72"/>
      <c r="E89" s="72"/>
      <c r="F89" s="72"/>
    </row>
    <row r="90" spans="1:6" hidden="1">
      <c r="A90" s="72"/>
      <c r="B90" s="72"/>
      <c r="C90" s="72"/>
      <c r="D90" s="72"/>
      <c r="E90" s="72"/>
      <c r="F90" s="72"/>
    </row>
    <row r="91" spans="1:6" hidden="1">
      <c r="A91" s="72"/>
      <c r="B91" s="72"/>
      <c r="C91" s="72"/>
      <c r="D91" s="72"/>
      <c r="E91" s="72"/>
      <c r="F91" s="72"/>
    </row>
    <row r="92" spans="1:6" hidden="1">
      <c r="A92" s="72"/>
      <c r="B92" s="72"/>
      <c r="C92" s="72"/>
      <c r="D92" s="72"/>
      <c r="E92" s="72"/>
      <c r="F92" s="72"/>
    </row>
    <row r="93" spans="1:6">
      <c r="A93" s="72"/>
      <c r="B93" s="72"/>
      <c r="C93" s="72"/>
      <c r="D93" s="72"/>
      <c r="E93" s="72"/>
      <c r="F93" s="72"/>
    </row>
    <row r="94" spans="1:6">
      <c r="A94" s="72"/>
      <c r="B94" s="72"/>
      <c r="C94" s="72"/>
      <c r="D94" s="72"/>
      <c r="E94" s="72"/>
      <c r="F94" s="72"/>
    </row>
    <row r="95" spans="1:6">
      <c r="A95" s="72"/>
      <c r="B95" s="72"/>
      <c r="C95" s="72"/>
      <c r="D95" s="72"/>
      <c r="E95" s="72"/>
      <c r="F95" s="72"/>
    </row>
    <row r="96" spans="1:6">
      <c r="A96" s="72"/>
      <c r="B96" s="72"/>
      <c r="C96" s="72"/>
      <c r="D96" s="72"/>
      <c r="E96" s="72"/>
      <c r="F96" s="72"/>
    </row>
    <row r="97" spans="1:6">
      <c r="A97" s="72"/>
      <c r="B97" s="72"/>
      <c r="C97" s="72"/>
      <c r="D97" s="72"/>
      <c r="E97" s="72"/>
      <c r="F97" s="72"/>
    </row>
    <row r="98" spans="1:6">
      <c r="A98" s="72"/>
      <c r="B98" s="72"/>
      <c r="C98" s="72"/>
      <c r="D98" s="72"/>
      <c r="E98" s="72"/>
      <c r="F98" s="72"/>
    </row>
    <row r="99" spans="1:6">
      <c r="A99" s="72"/>
      <c r="B99" s="72"/>
      <c r="C99" s="72"/>
      <c r="D99" s="72"/>
      <c r="E99" s="72"/>
      <c r="F99" s="72"/>
    </row>
    <row r="100" spans="1:6">
      <c r="A100" s="72"/>
      <c r="B100" s="72"/>
      <c r="C100" s="72"/>
      <c r="D100" s="72"/>
      <c r="E100" s="72"/>
      <c r="F100" s="72"/>
    </row>
    <row r="101" spans="1:6">
      <c r="A101" s="72"/>
      <c r="B101" s="72"/>
      <c r="C101" s="72"/>
      <c r="D101" s="72"/>
      <c r="E101" s="72"/>
      <c r="F101" s="72"/>
    </row>
    <row r="102" spans="1:6">
      <c r="A102" s="72"/>
      <c r="B102" s="72"/>
      <c r="C102" s="72"/>
      <c r="D102" s="72"/>
      <c r="E102" s="72"/>
      <c r="F102" s="72"/>
    </row>
    <row r="103" spans="1:6">
      <c r="A103" s="72"/>
      <c r="B103" s="72"/>
      <c r="C103" s="72"/>
      <c r="D103" s="72"/>
      <c r="E103" s="72"/>
      <c r="F103" s="72"/>
    </row>
    <row r="104" spans="1:6">
      <c r="A104" s="72"/>
      <c r="B104" s="72"/>
      <c r="C104" s="72"/>
      <c r="D104" s="72"/>
      <c r="E104" s="72"/>
      <c r="F104" s="72"/>
    </row>
    <row r="105" spans="1:6">
      <c r="A105" s="72"/>
      <c r="B105" s="72"/>
      <c r="C105" s="72"/>
      <c r="D105" s="72"/>
      <c r="E105" s="72"/>
      <c r="F105" s="72"/>
    </row>
    <row r="106" spans="1:6">
      <c r="A106" s="72"/>
      <c r="B106" s="72"/>
      <c r="C106" s="72"/>
      <c r="D106" s="72"/>
      <c r="E106" s="72"/>
      <c r="F106" s="72"/>
    </row>
    <row r="107" spans="1:6">
      <c r="A107" s="72"/>
      <c r="B107" s="72"/>
      <c r="C107" s="72"/>
      <c r="D107" s="72"/>
      <c r="E107" s="72"/>
      <c r="F107" s="72"/>
    </row>
    <row r="108" spans="1:6">
      <c r="A108" s="72"/>
      <c r="B108" s="72"/>
      <c r="C108" s="72"/>
      <c r="D108" s="72"/>
      <c r="E108" s="72"/>
      <c r="F108" s="72"/>
    </row>
    <row r="109" spans="1:6">
      <c r="A109" s="72"/>
      <c r="B109" s="72"/>
      <c r="C109" s="72"/>
      <c r="D109" s="72"/>
      <c r="E109" s="72"/>
      <c r="F109" s="72"/>
    </row>
    <row r="110" spans="1:6">
      <c r="A110" s="72"/>
      <c r="B110" s="72"/>
      <c r="C110" s="72"/>
      <c r="D110" s="72"/>
      <c r="E110" s="72"/>
      <c r="F110" s="72"/>
    </row>
    <row r="111" spans="1:6">
      <c r="A111" s="72"/>
      <c r="B111" s="72"/>
      <c r="C111" s="72"/>
      <c r="D111" s="72"/>
      <c r="E111" s="72"/>
      <c r="F111" s="72"/>
    </row>
    <row r="112" spans="1:6">
      <c r="A112" s="72"/>
      <c r="B112" s="72"/>
      <c r="C112" s="72"/>
      <c r="D112" s="72"/>
      <c r="E112" s="72"/>
      <c r="F112" s="72"/>
    </row>
    <row r="113" spans="1:6">
      <c r="A113" s="72"/>
      <c r="B113" s="72"/>
      <c r="C113" s="72"/>
      <c r="D113" s="72"/>
      <c r="E113" s="72"/>
      <c r="F113" s="72"/>
    </row>
    <row r="114" spans="1:6">
      <c r="A114" s="72"/>
      <c r="B114" s="72"/>
      <c r="C114" s="72"/>
      <c r="D114" s="72"/>
      <c r="E114" s="72"/>
      <c r="F114" s="72"/>
    </row>
    <row r="115" spans="1:6">
      <c r="A115" s="72"/>
      <c r="B115" s="72"/>
      <c r="C115" s="72"/>
      <c r="D115" s="72"/>
      <c r="E115" s="72"/>
      <c r="F115" s="72"/>
    </row>
    <row r="116" spans="1:6">
      <c r="A116" s="72"/>
      <c r="B116" s="72"/>
      <c r="C116" s="72"/>
      <c r="D116" s="72"/>
      <c r="E116" s="72"/>
      <c r="F116" s="72"/>
    </row>
    <row r="117" spans="1:6">
      <c r="A117" s="72"/>
      <c r="B117" s="72"/>
      <c r="C117" s="72"/>
      <c r="D117" s="72"/>
      <c r="E117" s="72"/>
      <c r="F117" s="72"/>
    </row>
    <row r="118" spans="1:6">
      <c r="A118" s="72"/>
      <c r="B118" s="72"/>
      <c r="C118" s="72"/>
      <c r="D118" s="72"/>
      <c r="E118" s="72"/>
      <c r="F118" s="72"/>
    </row>
    <row r="119" spans="1:6">
      <c r="A119" s="72"/>
      <c r="B119" s="72"/>
      <c r="C119" s="72"/>
      <c r="D119" s="72"/>
      <c r="E119" s="72"/>
      <c r="F119" s="72"/>
    </row>
    <row r="120" spans="1:6">
      <c r="A120" s="72"/>
      <c r="B120" s="72"/>
      <c r="C120" s="72"/>
      <c r="D120" s="72"/>
      <c r="E120" s="72"/>
      <c r="F120" s="72"/>
    </row>
    <row r="121" spans="1:6">
      <c r="A121" s="72"/>
      <c r="B121" s="72"/>
      <c r="C121" s="72"/>
      <c r="D121" s="72"/>
      <c r="E121" s="72"/>
      <c r="F121" s="72"/>
    </row>
    <row r="122" spans="1:6">
      <c r="A122" s="72"/>
      <c r="B122" s="72"/>
      <c r="C122" s="72"/>
      <c r="D122" s="72"/>
      <c r="E122" s="72"/>
      <c r="F122" s="72"/>
    </row>
    <row r="123" spans="1:6">
      <c r="A123" s="72"/>
      <c r="B123" s="72"/>
      <c r="C123" s="72"/>
      <c r="D123" s="72"/>
      <c r="E123" s="72"/>
      <c r="F123" s="72"/>
    </row>
    <row r="124" spans="1:6">
      <c r="A124" s="72"/>
      <c r="B124" s="72"/>
      <c r="C124" s="72"/>
      <c r="D124" s="72"/>
      <c r="E124" s="72"/>
      <c r="F124" s="72"/>
    </row>
    <row r="125" spans="1:6">
      <c r="A125" s="72"/>
      <c r="B125" s="72"/>
      <c r="C125" s="72"/>
      <c r="D125" s="72"/>
      <c r="E125" s="72"/>
      <c r="F125" s="72"/>
    </row>
    <row r="126" spans="1:6">
      <c r="A126" s="72"/>
      <c r="B126" s="72"/>
      <c r="C126" s="72"/>
      <c r="D126" s="72"/>
      <c r="E126" s="72"/>
      <c r="F126" s="72"/>
    </row>
    <row r="127" spans="1:6">
      <c r="A127" s="72"/>
      <c r="B127" s="72"/>
      <c r="C127" s="72"/>
      <c r="D127" s="72"/>
      <c r="E127" s="72"/>
      <c r="F127" s="72"/>
    </row>
    <row r="128" spans="1:6">
      <c r="A128" s="72"/>
      <c r="B128" s="72"/>
      <c r="C128" s="72"/>
      <c r="D128" s="72"/>
      <c r="E128" s="72"/>
      <c r="F128" s="72"/>
    </row>
    <row r="129" spans="1:6">
      <c r="A129" s="72"/>
      <c r="B129" s="72"/>
      <c r="C129" s="72"/>
      <c r="D129" s="72"/>
      <c r="E129" s="72"/>
      <c r="F129" s="72"/>
    </row>
    <row r="130" spans="1:6">
      <c r="A130" s="72"/>
      <c r="B130" s="72"/>
      <c r="C130" s="72"/>
      <c r="D130" s="72"/>
      <c r="E130" s="72"/>
      <c r="F130" s="72"/>
    </row>
    <row r="131" spans="1:6">
      <c r="A131" s="72"/>
      <c r="B131" s="72"/>
      <c r="C131" s="72"/>
      <c r="D131" s="72"/>
      <c r="E131" s="72"/>
      <c r="F131" s="72"/>
    </row>
    <row r="132" spans="1:6">
      <c r="A132" s="72"/>
      <c r="B132" s="72"/>
      <c r="C132" s="72"/>
      <c r="D132" s="72"/>
      <c r="E132" s="72"/>
      <c r="F132" s="72"/>
    </row>
    <row r="133" spans="1:6">
      <c r="A133" s="72"/>
      <c r="B133" s="72"/>
      <c r="C133" s="72"/>
      <c r="D133" s="72"/>
      <c r="E133" s="72"/>
      <c r="F133" s="72"/>
    </row>
    <row r="134" spans="1:6">
      <c r="A134" s="72"/>
      <c r="B134" s="72"/>
      <c r="C134" s="72"/>
      <c r="D134" s="72"/>
      <c r="E134" s="72"/>
      <c r="F134" s="72"/>
    </row>
    <row r="135" spans="1:6">
      <c r="A135" s="72"/>
      <c r="B135" s="72"/>
      <c r="C135" s="72"/>
      <c r="D135" s="72"/>
      <c r="E135" s="72"/>
      <c r="F135" s="72"/>
    </row>
    <row r="136" spans="1:6">
      <c r="A136" s="72"/>
      <c r="B136" s="72"/>
      <c r="C136" s="72"/>
      <c r="D136" s="72"/>
      <c r="E136" s="72"/>
      <c r="F136" s="72"/>
    </row>
    <row r="137" spans="1:6">
      <c r="A137" s="72"/>
      <c r="B137" s="72"/>
      <c r="C137" s="72"/>
      <c r="D137" s="72"/>
      <c r="E137" s="72"/>
      <c r="F137" s="72"/>
    </row>
    <row r="138" spans="1:6">
      <c r="A138" s="72"/>
      <c r="B138" s="72"/>
      <c r="C138" s="72"/>
      <c r="D138" s="72"/>
      <c r="E138" s="72"/>
      <c r="F138" s="72"/>
    </row>
    <row r="139" spans="1:6">
      <c r="A139" s="72"/>
      <c r="B139" s="72"/>
      <c r="C139" s="72"/>
      <c r="D139" s="72"/>
      <c r="E139" s="72"/>
      <c r="F139" s="72"/>
    </row>
    <row r="140" spans="1:6">
      <c r="A140" s="72"/>
      <c r="B140" s="72"/>
      <c r="C140" s="72"/>
      <c r="D140" s="72"/>
      <c r="E140" s="72"/>
      <c r="F140" s="72"/>
    </row>
    <row r="141" spans="1:6">
      <c r="A141" s="72"/>
      <c r="B141" s="72"/>
      <c r="C141" s="72"/>
      <c r="D141" s="72"/>
      <c r="E141" s="72"/>
      <c r="F141" s="72"/>
    </row>
    <row r="142" spans="1:6">
      <c r="A142" s="72"/>
      <c r="B142" s="72"/>
      <c r="C142" s="72"/>
      <c r="D142" s="72"/>
      <c r="E142" s="72"/>
      <c r="F142" s="72"/>
    </row>
    <row r="143" spans="1:6">
      <c r="A143" s="72"/>
      <c r="B143" s="72"/>
      <c r="C143" s="72"/>
      <c r="D143" s="72"/>
      <c r="E143" s="72"/>
      <c r="F143" s="72"/>
    </row>
    <row r="144" spans="1:6">
      <c r="A144" s="72"/>
      <c r="B144" s="72"/>
      <c r="C144" s="72"/>
      <c r="D144" s="72"/>
      <c r="E144" s="72"/>
      <c r="F144" s="72"/>
    </row>
    <row r="145" spans="1:6">
      <c r="A145" s="72"/>
      <c r="B145" s="72"/>
      <c r="C145" s="72"/>
      <c r="D145" s="72"/>
      <c r="E145" s="72"/>
      <c r="F145" s="72"/>
    </row>
    <row r="146" spans="1:6">
      <c r="A146" s="72"/>
      <c r="B146" s="72"/>
      <c r="C146" s="72"/>
      <c r="D146" s="72"/>
      <c r="E146" s="72"/>
      <c r="F146" s="72"/>
    </row>
    <row r="147" spans="1:6">
      <c r="A147" s="72"/>
      <c r="B147" s="72"/>
      <c r="C147" s="72"/>
      <c r="D147" s="72"/>
      <c r="E147" s="72"/>
      <c r="F147" s="72"/>
    </row>
    <row r="148" spans="1:6">
      <c r="A148" s="72"/>
      <c r="B148" s="72"/>
      <c r="C148" s="72"/>
      <c r="D148" s="72"/>
      <c r="E148" s="72"/>
      <c r="F148" s="72"/>
    </row>
    <row r="149" spans="1:6">
      <c r="A149" s="72"/>
      <c r="B149" s="72"/>
      <c r="C149" s="72"/>
      <c r="D149" s="72"/>
      <c r="E149" s="72"/>
      <c r="F149" s="72"/>
    </row>
    <row r="150" spans="1:6">
      <c r="A150" s="72"/>
      <c r="B150" s="72"/>
      <c r="C150" s="72"/>
      <c r="D150" s="72"/>
      <c r="E150" s="72"/>
      <c r="F150" s="72"/>
    </row>
    <row r="151" spans="1:6">
      <c r="A151" s="72"/>
      <c r="B151" s="72"/>
      <c r="C151" s="72"/>
      <c r="D151" s="72"/>
      <c r="E151" s="72"/>
      <c r="F151" s="72"/>
    </row>
    <row r="152" spans="1:6">
      <c r="A152" s="72"/>
      <c r="B152" s="72"/>
      <c r="C152" s="72"/>
      <c r="D152" s="72"/>
      <c r="E152" s="72"/>
      <c r="F152" s="72"/>
    </row>
    <row r="153" spans="1:6">
      <c r="A153" s="72"/>
      <c r="B153" s="72"/>
      <c r="C153" s="72"/>
      <c r="D153" s="72"/>
      <c r="E153" s="72"/>
      <c r="F153" s="72"/>
    </row>
    <row r="154" spans="1:6">
      <c r="A154" s="72"/>
      <c r="B154" s="72"/>
      <c r="C154" s="72"/>
      <c r="D154" s="72"/>
      <c r="E154" s="72"/>
      <c r="F154" s="72"/>
    </row>
    <row r="155" spans="1:6">
      <c r="A155" s="72"/>
      <c r="B155" s="72"/>
      <c r="C155" s="72"/>
      <c r="D155" s="72"/>
      <c r="E155" s="72"/>
      <c r="F155" s="72"/>
    </row>
    <row r="156" spans="1:6">
      <c r="A156" s="72"/>
      <c r="B156" s="72"/>
      <c r="C156" s="72"/>
      <c r="D156" s="72"/>
      <c r="E156" s="72"/>
      <c r="F156" s="72"/>
    </row>
    <row r="157" spans="1:6">
      <c r="A157" s="72"/>
      <c r="B157" s="72"/>
      <c r="C157" s="72"/>
      <c r="D157" s="72"/>
      <c r="E157" s="72"/>
      <c r="F157" s="72"/>
    </row>
    <row r="158" spans="1:6">
      <c r="A158" s="72"/>
      <c r="B158" s="72"/>
      <c r="C158" s="72"/>
      <c r="D158" s="72"/>
      <c r="E158" s="72"/>
      <c r="F158" s="72"/>
    </row>
    <row r="159" spans="1:6">
      <c r="A159" s="72"/>
      <c r="B159" s="72"/>
      <c r="C159" s="72"/>
      <c r="D159" s="72"/>
      <c r="E159" s="72"/>
      <c r="F159" s="72"/>
    </row>
    <row r="160" spans="1:6">
      <c r="A160" s="72"/>
      <c r="B160" s="72"/>
      <c r="C160" s="72"/>
      <c r="D160" s="72"/>
      <c r="E160" s="72"/>
      <c r="F160" s="72"/>
    </row>
    <row r="161" spans="1:6">
      <c r="A161" s="72"/>
      <c r="B161" s="72"/>
      <c r="C161" s="72"/>
      <c r="D161" s="72"/>
      <c r="E161" s="72"/>
      <c r="F161" s="72"/>
    </row>
    <row r="162" spans="1:6">
      <c r="A162" s="72"/>
      <c r="B162" s="72"/>
      <c r="C162" s="72"/>
      <c r="D162" s="72"/>
      <c r="E162" s="72"/>
      <c r="F162" s="72"/>
    </row>
    <row r="163" spans="1:6">
      <c r="A163" s="72"/>
      <c r="B163" s="72"/>
      <c r="C163" s="72"/>
      <c r="D163" s="72"/>
      <c r="E163" s="72"/>
      <c r="F163" s="72"/>
    </row>
    <row r="164" spans="1:6">
      <c r="A164" s="72"/>
      <c r="B164" s="72"/>
      <c r="C164" s="72"/>
      <c r="D164" s="72"/>
      <c r="E164" s="72"/>
      <c r="F164" s="72"/>
    </row>
    <row r="165" spans="1:6">
      <c r="A165" s="72"/>
      <c r="B165" s="72"/>
      <c r="C165" s="72"/>
      <c r="D165" s="72"/>
      <c r="E165" s="72"/>
      <c r="F165" s="72"/>
    </row>
    <row r="166" spans="1:6">
      <c r="A166" s="72"/>
      <c r="B166" s="72"/>
      <c r="C166" s="72"/>
      <c r="D166" s="72"/>
      <c r="E166" s="72"/>
      <c r="F166" s="72"/>
    </row>
    <row r="167" spans="1:6">
      <c r="A167" s="72"/>
      <c r="B167" s="72"/>
      <c r="C167" s="72"/>
      <c r="D167" s="72"/>
      <c r="E167" s="72"/>
      <c r="F167" s="72"/>
    </row>
    <row r="168" spans="1:6">
      <c r="A168" s="72"/>
      <c r="B168" s="72"/>
      <c r="C168" s="72"/>
      <c r="D168" s="72"/>
      <c r="E168" s="72"/>
      <c r="F168" s="72"/>
    </row>
    <row r="169" spans="1:6">
      <c r="A169" s="72"/>
      <c r="B169" s="72"/>
      <c r="C169" s="72"/>
      <c r="D169" s="72"/>
      <c r="E169" s="72"/>
      <c r="F169" s="72"/>
    </row>
    <row r="170" spans="1:6">
      <c r="A170" s="72"/>
      <c r="B170" s="72"/>
      <c r="C170" s="72"/>
      <c r="D170" s="72"/>
      <c r="E170" s="72"/>
      <c r="F170" s="72"/>
    </row>
    <row r="171" spans="1:6">
      <c r="A171" s="72"/>
      <c r="B171" s="72"/>
      <c r="C171" s="72"/>
      <c r="D171" s="72"/>
      <c r="E171" s="72"/>
      <c r="F171" s="72"/>
    </row>
    <row r="172" spans="1:6">
      <c r="A172" s="72"/>
      <c r="B172" s="72"/>
      <c r="C172" s="72"/>
      <c r="D172" s="72"/>
      <c r="E172" s="72"/>
      <c r="F172" s="72"/>
    </row>
    <row r="173" spans="1:6">
      <c r="A173" s="72"/>
      <c r="B173" s="72"/>
      <c r="C173" s="72"/>
      <c r="D173" s="72"/>
      <c r="E173" s="72"/>
      <c r="F173" s="72"/>
    </row>
    <row r="174" spans="1:6">
      <c r="A174" s="72"/>
      <c r="B174" s="72"/>
      <c r="C174" s="72"/>
      <c r="D174" s="72"/>
      <c r="E174" s="72"/>
      <c r="F174" s="72"/>
    </row>
    <row r="175" spans="1:6">
      <c r="A175" s="72"/>
      <c r="B175" s="72"/>
      <c r="C175" s="72"/>
      <c r="D175" s="72"/>
      <c r="E175" s="72"/>
      <c r="F175" s="72"/>
    </row>
    <row r="176" spans="1:6">
      <c r="A176" s="72"/>
      <c r="B176" s="72"/>
      <c r="C176" s="72"/>
      <c r="D176" s="72"/>
      <c r="E176" s="72"/>
      <c r="F176" s="72"/>
    </row>
    <row r="177" spans="1:6">
      <c r="A177" s="72"/>
      <c r="B177" s="72"/>
      <c r="C177" s="72"/>
      <c r="D177" s="72"/>
      <c r="E177" s="72"/>
      <c r="F177" s="72"/>
    </row>
    <row r="178" spans="1:6">
      <c r="A178" s="72"/>
      <c r="B178" s="72"/>
      <c r="C178" s="72"/>
      <c r="D178" s="72"/>
      <c r="E178" s="72"/>
      <c r="F178" s="72"/>
    </row>
    <row r="179" spans="1:6">
      <c r="A179" s="72"/>
      <c r="B179" s="72"/>
      <c r="C179" s="72"/>
      <c r="D179" s="72"/>
      <c r="E179" s="72"/>
      <c r="F179" s="72"/>
    </row>
    <row r="180" spans="1:6">
      <c r="A180" s="72"/>
      <c r="B180" s="72"/>
      <c r="C180" s="72"/>
      <c r="D180" s="72"/>
      <c r="E180" s="72"/>
      <c r="F180" s="72"/>
    </row>
    <row r="181" spans="1:6">
      <c r="A181" s="72"/>
      <c r="B181" s="72"/>
      <c r="C181" s="72"/>
      <c r="D181" s="72"/>
      <c r="E181" s="72"/>
      <c r="F181" s="72"/>
    </row>
    <row r="182" spans="1:6">
      <c r="A182" s="72"/>
      <c r="B182" s="72"/>
      <c r="C182" s="72"/>
      <c r="D182" s="72"/>
      <c r="E182" s="72"/>
      <c r="F182" s="72"/>
    </row>
    <row r="183" spans="1:6">
      <c r="A183" s="72"/>
      <c r="B183" s="72"/>
      <c r="C183" s="72"/>
      <c r="D183" s="72"/>
      <c r="E183" s="72"/>
      <c r="F183" s="72"/>
    </row>
    <row r="184" spans="1:6">
      <c r="A184" s="72"/>
      <c r="B184" s="72"/>
      <c r="C184" s="72"/>
      <c r="D184" s="72"/>
      <c r="E184" s="72"/>
      <c r="F184" s="72"/>
    </row>
    <row r="185" spans="1:6">
      <c r="A185" s="72"/>
      <c r="B185" s="72"/>
      <c r="C185" s="72"/>
      <c r="D185" s="72"/>
      <c r="E185" s="72"/>
      <c r="F185" s="72"/>
    </row>
    <row r="186" spans="1:6">
      <c r="A186" s="72"/>
      <c r="B186" s="72"/>
      <c r="C186" s="72"/>
      <c r="D186" s="72"/>
      <c r="E186" s="72"/>
      <c r="F186" s="72"/>
    </row>
    <row r="187" spans="1:6">
      <c r="A187" s="72"/>
      <c r="B187" s="72"/>
      <c r="C187" s="72"/>
      <c r="D187" s="72"/>
      <c r="E187" s="72"/>
      <c r="F187" s="72"/>
    </row>
    <row r="188" spans="1:6">
      <c r="A188" s="72"/>
      <c r="B188" s="72"/>
      <c r="C188" s="72"/>
      <c r="D188" s="72"/>
      <c r="E188" s="72"/>
      <c r="F188" s="72"/>
    </row>
    <row r="189" spans="1:6">
      <c r="A189" s="72"/>
      <c r="B189" s="72"/>
      <c r="C189" s="72"/>
      <c r="D189" s="72"/>
      <c r="E189" s="72"/>
      <c r="F189" s="72"/>
    </row>
    <row r="190" spans="1:6">
      <c r="A190" s="72"/>
      <c r="B190" s="72"/>
      <c r="C190" s="72"/>
      <c r="D190" s="72"/>
      <c r="E190" s="72"/>
      <c r="F190" s="72"/>
    </row>
    <row r="191" spans="1:6">
      <c r="A191" s="72"/>
      <c r="B191" s="72"/>
      <c r="C191" s="72"/>
      <c r="D191" s="72"/>
      <c r="E191" s="72"/>
      <c r="F191" s="72"/>
    </row>
    <row r="192" spans="1:6">
      <c r="A192" s="72"/>
      <c r="B192" s="72"/>
      <c r="C192" s="72"/>
      <c r="D192" s="72"/>
      <c r="E192" s="72"/>
      <c r="F192" s="72"/>
    </row>
    <row r="193" spans="1:6">
      <c r="A193" s="72"/>
      <c r="B193" s="72"/>
      <c r="C193" s="72"/>
      <c r="D193" s="72"/>
      <c r="E193" s="72"/>
      <c r="F193" s="72"/>
    </row>
    <row r="194" spans="1:6">
      <c r="A194" s="72"/>
      <c r="B194" s="72"/>
      <c r="C194" s="72"/>
      <c r="D194" s="72"/>
      <c r="E194" s="72"/>
      <c r="F194" s="72"/>
    </row>
    <row r="195" spans="1:6">
      <c r="A195" s="72"/>
      <c r="B195" s="72"/>
      <c r="C195" s="72"/>
      <c r="D195" s="72"/>
      <c r="E195" s="72"/>
      <c r="F195" s="72"/>
    </row>
    <row r="196" spans="1:6">
      <c r="A196" s="72"/>
      <c r="B196" s="72"/>
      <c r="C196" s="72"/>
      <c r="D196" s="72"/>
      <c r="E196" s="72"/>
      <c r="F196" s="72"/>
    </row>
    <row r="197" spans="1:6">
      <c r="A197" s="72"/>
      <c r="B197" s="72"/>
      <c r="C197" s="72"/>
      <c r="D197" s="72"/>
      <c r="E197" s="72"/>
      <c r="F197" s="72"/>
    </row>
    <row r="198" spans="1:6">
      <c r="A198" s="72"/>
      <c r="B198" s="72"/>
      <c r="C198" s="72"/>
      <c r="D198" s="72"/>
      <c r="E198" s="72"/>
      <c r="F198" s="72"/>
    </row>
    <row r="199" spans="1:6">
      <c r="A199" s="72"/>
      <c r="B199" s="72"/>
      <c r="C199" s="72"/>
      <c r="D199" s="72"/>
      <c r="E199" s="72"/>
      <c r="F199" s="72"/>
    </row>
    <row r="200" spans="1:6">
      <c r="A200" s="72"/>
      <c r="B200" s="72"/>
      <c r="C200" s="72"/>
      <c r="D200" s="72"/>
      <c r="E200" s="72"/>
      <c r="F200" s="72"/>
    </row>
    <row r="201" spans="1:6">
      <c r="A201" s="72"/>
      <c r="B201" s="72"/>
      <c r="C201" s="72"/>
      <c r="D201" s="72"/>
      <c r="E201" s="72"/>
      <c r="F201" s="72"/>
    </row>
    <row r="202" spans="1:6">
      <c r="A202" s="72"/>
      <c r="B202" s="72"/>
      <c r="C202" s="72"/>
      <c r="D202" s="72"/>
      <c r="E202" s="72"/>
      <c r="F202" s="72"/>
    </row>
    <row r="203" spans="1:6">
      <c r="A203" s="72"/>
      <c r="B203" s="72"/>
      <c r="C203" s="72"/>
      <c r="D203" s="72"/>
      <c r="E203" s="72"/>
      <c r="F203" s="72"/>
    </row>
    <row r="204" spans="1:6">
      <c r="A204" s="72"/>
      <c r="B204" s="72"/>
      <c r="C204" s="72"/>
      <c r="D204" s="72"/>
      <c r="E204" s="72"/>
      <c r="F204" s="72"/>
    </row>
    <row r="205" spans="1:6">
      <c r="A205" s="72"/>
      <c r="B205" s="72"/>
      <c r="C205" s="72"/>
      <c r="D205" s="72"/>
      <c r="E205" s="72"/>
      <c r="F205" s="72"/>
    </row>
    <row r="206" spans="1:6">
      <c r="A206" s="72"/>
      <c r="B206" s="72"/>
      <c r="C206" s="72"/>
      <c r="D206" s="72"/>
      <c r="E206" s="72"/>
      <c r="F206" s="72"/>
    </row>
    <row r="207" spans="1:6">
      <c r="A207" s="72"/>
      <c r="B207" s="72"/>
      <c r="C207" s="72"/>
      <c r="D207" s="72"/>
      <c r="E207" s="72"/>
      <c r="F207" s="72"/>
    </row>
    <row r="208" spans="1:6">
      <c r="A208" s="72"/>
      <c r="B208" s="72"/>
      <c r="C208" s="72"/>
      <c r="D208" s="72"/>
      <c r="E208" s="72"/>
      <c r="F208" s="72"/>
    </row>
    <row r="209" spans="1:6">
      <c r="A209" s="72"/>
      <c r="B209" s="72"/>
      <c r="C209" s="72"/>
      <c r="D209" s="72"/>
      <c r="E209" s="72"/>
      <c r="F209" s="72"/>
    </row>
    <row r="210" spans="1:6">
      <c r="A210" s="72"/>
      <c r="B210" s="72"/>
      <c r="C210" s="72"/>
      <c r="D210" s="72"/>
      <c r="E210" s="72"/>
      <c r="F210" s="72"/>
    </row>
    <row r="211" spans="1:6">
      <c r="A211" s="72"/>
      <c r="B211" s="72"/>
      <c r="C211" s="72"/>
      <c r="D211" s="72"/>
      <c r="E211" s="72"/>
      <c r="F211" s="72"/>
    </row>
    <row r="212" spans="1:6">
      <c r="A212" s="72"/>
      <c r="B212" s="72"/>
      <c r="C212" s="72"/>
      <c r="D212" s="72"/>
      <c r="E212" s="72"/>
      <c r="F212" s="72"/>
    </row>
    <row r="213" spans="1:6">
      <c r="A213" s="72"/>
      <c r="B213" s="72"/>
      <c r="C213" s="72"/>
      <c r="D213" s="72"/>
      <c r="E213" s="72"/>
      <c r="F213" s="72"/>
    </row>
    <row r="214" spans="1:6">
      <c r="A214" s="72"/>
      <c r="B214" s="72"/>
      <c r="C214" s="72"/>
      <c r="D214" s="72"/>
      <c r="E214" s="72"/>
      <c r="F214" s="72"/>
    </row>
    <row r="215" spans="1:6">
      <c r="A215" s="72"/>
      <c r="B215" s="72"/>
      <c r="C215" s="72"/>
      <c r="D215" s="72"/>
      <c r="E215" s="72"/>
      <c r="F215" s="72"/>
    </row>
    <row r="216" spans="1:6">
      <c r="A216" s="72"/>
      <c r="B216" s="72"/>
      <c r="C216" s="72"/>
      <c r="D216" s="72"/>
      <c r="E216" s="72"/>
      <c r="F216" s="72"/>
    </row>
    <row r="217" spans="1:6">
      <c r="A217" s="72"/>
      <c r="B217" s="72"/>
      <c r="C217" s="72"/>
      <c r="D217" s="72"/>
      <c r="E217" s="72"/>
      <c r="F217" s="72"/>
    </row>
    <row r="218" spans="1:6">
      <c r="A218" s="72"/>
      <c r="B218" s="72"/>
      <c r="C218" s="72"/>
      <c r="D218" s="72"/>
      <c r="E218" s="72"/>
      <c r="F218" s="72"/>
    </row>
    <row r="219" spans="1:6">
      <c r="A219" s="72"/>
      <c r="B219" s="72"/>
      <c r="C219" s="72"/>
      <c r="D219" s="72"/>
      <c r="E219" s="72"/>
      <c r="F219" s="72"/>
    </row>
    <row r="220" spans="1:6">
      <c r="A220" s="72"/>
      <c r="B220" s="72"/>
      <c r="C220" s="72"/>
      <c r="D220" s="72"/>
      <c r="E220" s="72"/>
      <c r="F220" s="72"/>
    </row>
    <row r="221" spans="1:6">
      <c r="A221" s="72"/>
      <c r="B221" s="72"/>
      <c r="C221" s="72"/>
      <c r="D221" s="72"/>
      <c r="E221" s="72"/>
      <c r="F221" s="72"/>
    </row>
    <row r="222" spans="1:6">
      <c r="A222" s="72"/>
      <c r="B222" s="72"/>
      <c r="C222" s="72"/>
      <c r="D222" s="72"/>
      <c r="E222" s="72"/>
      <c r="F222" s="72"/>
    </row>
    <row r="223" spans="1:6">
      <c r="A223" s="72"/>
      <c r="B223" s="72"/>
      <c r="C223" s="72"/>
      <c r="D223" s="72"/>
      <c r="E223" s="72"/>
      <c r="F223" s="72"/>
    </row>
    <row r="224" spans="1:6">
      <c r="A224" s="72"/>
      <c r="B224" s="72"/>
      <c r="C224" s="72"/>
      <c r="D224" s="72"/>
      <c r="E224" s="72"/>
      <c r="F224" s="72"/>
    </row>
    <row r="225" spans="1:6">
      <c r="A225" s="72"/>
      <c r="B225" s="72"/>
      <c r="C225" s="72"/>
      <c r="D225" s="72"/>
      <c r="E225" s="72"/>
      <c r="F225" s="72"/>
    </row>
    <row r="226" spans="1:6">
      <c r="A226" s="72"/>
      <c r="B226" s="72"/>
      <c r="C226" s="72"/>
      <c r="D226" s="72"/>
      <c r="E226" s="72"/>
      <c r="F226" s="72"/>
    </row>
    <row r="227" spans="1:6">
      <c r="A227" s="72"/>
      <c r="B227" s="72"/>
      <c r="C227" s="72"/>
      <c r="D227" s="72"/>
      <c r="E227" s="72"/>
      <c r="F227" s="72"/>
    </row>
    <row r="228" spans="1:6">
      <c r="A228" s="72"/>
      <c r="B228" s="72"/>
      <c r="C228" s="72"/>
      <c r="D228" s="72"/>
      <c r="E228" s="72"/>
      <c r="F228" s="72"/>
    </row>
    <row r="229" spans="1:6">
      <c r="A229" s="72"/>
      <c r="B229" s="72"/>
      <c r="C229" s="72"/>
      <c r="D229" s="72"/>
      <c r="E229" s="72"/>
      <c r="F229" s="72"/>
    </row>
    <row r="230" spans="1:6">
      <c r="A230" s="72"/>
      <c r="B230" s="72"/>
      <c r="C230" s="72"/>
      <c r="D230" s="72"/>
      <c r="E230" s="72"/>
      <c r="F230" s="72"/>
    </row>
    <row r="231" spans="1:6">
      <c r="A231" s="72"/>
      <c r="B231" s="72"/>
      <c r="C231" s="72"/>
      <c r="D231" s="72"/>
      <c r="E231" s="72"/>
      <c r="F231" s="72"/>
    </row>
    <row r="232" spans="1:6">
      <c r="A232" s="72"/>
      <c r="B232" s="72"/>
      <c r="C232" s="72"/>
      <c r="D232" s="72"/>
      <c r="E232" s="72"/>
      <c r="F232" s="72"/>
    </row>
    <row r="233" spans="1:6">
      <c r="A233" s="72"/>
      <c r="B233" s="72"/>
      <c r="C233" s="72"/>
      <c r="D233" s="72"/>
      <c r="E233" s="72"/>
      <c r="F233" s="72"/>
    </row>
    <row r="234" spans="1:6">
      <c r="A234" s="72"/>
      <c r="B234" s="72"/>
      <c r="C234" s="72"/>
      <c r="D234" s="72"/>
      <c r="E234" s="72"/>
      <c r="F234" s="72"/>
    </row>
    <row r="235" spans="1:6">
      <c r="A235" s="72"/>
      <c r="B235" s="72"/>
      <c r="C235" s="72"/>
      <c r="D235" s="72"/>
      <c r="E235" s="72"/>
      <c r="F235" s="72"/>
    </row>
    <row r="236" spans="1:6">
      <c r="A236" s="72"/>
      <c r="B236" s="72"/>
      <c r="C236" s="72"/>
      <c r="D236" s="72"/>
      <c r="E236" s="72"/>
      <c r="F236" s="72"/>
    </row>
    <row r="237" spans="1:6">
      <c r="A237" s="72"/>
      <c r="B237" s="72"/>
      <c r="C237" s="72"/>
      <c r="D237" s="72"/>
      <c r="E237" s="72"/>
      <c r="F237" s="72"/>
    </row>
    <row r="238" spans="1:6">
      <c r="A238" s="72"/>
      <c r="B238" s="72"/>
      <c r="C238" s="72"/>
      <c r="D238" s="72"/>
      <c r="E238" s="72"/>
      <c r="F238" s="72"/>
    </row>
    <row r="239" spans="1:6">
      <c r="A239" s="72"/>
      <c r="B239" s="72"/>
      <c r="C239" s="72"/>
      <c r="D239" s="72"/>
      <c r="E239" s="72"/>
      <c r="F239" s="72"/>
    </row>
    <row r="240" spans="1:6">
      <c r="A240" s="72"/>
      <c r="B240" s="72"/>
      <c r="C240" s="72"/>
      <c r="D240" s="72"/>
      <c r="E240" s="72"/>
      <c r="F240" s="72"/>
    </row>
    <row r="241" spans="1:6">
      <c r="A241" s="72"/>
      <c r="B241" s="72"/>
      <c r="C241" s="72"/>
      <c r="D241" s="72"/>
      <c r="E241" s="72"/>
      <c r="F241" s="72"/>
    </row>
    <row r="242" spans="1:6">
      <c r="A242" s="72"/>
      <c r="B242" s="72"/>
      <c r="C242" s="72"/>
      <c r="D242" s="72"/>
      <c r="E242" s="72"/>
      <c r="F242" s="72"/>
    </row>
    <row r="243" spans="1:6">
      <c r="A243" s="72"/>
      <c r="B243" s="72"/>
      <c r="C243" s="72"/>
      <c r="D243" s="72"/>
      <c r="E243" s="72"/>
      <c r="F243" s="72"/>
    </row>
    <row r="244" spans="1:6">
      <c r="A244" s="72"/>
      <c r="B244" s="72"/>
      <c r="C244" s="72"/>
      <c r="D244" s="72"/>
      <c r="E244" s="72"/>
      <c r="F244" s="72"/>
    </row>
    <row r="245" spans="1:6">
      <c r="A245" s="72"/>
      <c r="B245" s="72"/>
      <c r="C245" s="72"/>
      <c r="D245" s="72"/>
      <c r="E245" s="72"/>
      <c r="F245" s="72"/>
    </row>
    <row r="246" spans="1:6">
      <c r="A246" s="72"/>
      <c r="B246" s="72"/>
      <c r="C246" s="72"/>
      <c r="D246" s="72"/>
      <c r="E246" s="72"/>
      <c r="F246" s="72"/>
    </row>
    <row r="247" spans="1:6">
      <c r="A247" s="72"/>
      <c r="B247" s="72"/>
      <c r="C247" s="72"/>
      <c r="D247" s="72"/>
      <c r="E247" s="72"/>
      <c r="F247" s="72"/>
    </row>
    <row r="248" spans="1:6">
      <c r="A248" s="72"/>
      <c r="B248" s="72"/>
      <c r="C248" s="72"/>
      <c r="D248" s="72"/>
      <c r="E248" s="72"/>
      <c r="F248" s="72"/>
    </row>
    <row r="249" spans="1:6">
      <c r="A249" s="72"/>
      <c r="B249" s="72"/>
      <c r="C249" s="72"/>
      <c r="D249" s="72"/>
      <c r="E249" s="72"/>
      <c r="F249" s="72"/>
    </row>
    <row r="250" spans="1:6">
      <c r="A250" s="72"/>
      <c r="B250" s="72"/>
      <c r="C250" s="72"/>
      <c r="D250" s="72"/>
      <c r="E250" s="72"/>
      <c r="F250" s="72"/>
    </row>
    <row r="251" spans="1:6">
      <c r="A251" s="72"/>
      <c r="B251" s="72"/>
      <c r="C251" s="72"/>
      <c r="D251" s="72"/>
      <c r="E251" s="72"/>
      <c r="F251" s="72"/>
    </row>
    <row r="252" spans="1:6">
      <c r="A252" s="72"/>
      <c r="B252" s="72"/>
      <c r="C252" s="72"/>
      <c r="D252" s="72"/>
      <c r="E252" s="72"/>
      <c r="F252" s="72"/>
    </row>
    <row r="253" spans="1:6">
      <c r="A253" s="72"/>
      <c r="B253" s="72"/>
      <c r="C253" s="72"/>
      <c r="D253" s="72"/>
      <c r="E253" s="72"/>
      <c r="F253" s="72"/>
    </row>
    <row r="254" spans="1:6">
      <c r="A254" s="72"/>
      <c r="B254" s="72"/>
      <c r="C254" s="72"/>
      <c r="D254" s="72"/>
      <c r="E254" s="72"/>
      <c r="F254" s="72"/>
    </row>
    <row r="255" spans="1:6">
      <c r="A255" s="72"/>
      <c r="B255" s="72"/>
      <c r="C255" s="72"/>
      <c r="D255" s="72"/>
      <c r="E255" s="72"/>
      <c r="F255" s="72"/>
    </row>
    <row r="256" spans="1:6">
      <c r="A256" s="72"/>
      <c r="B256" s="72"/>
      <c r="C256" s="72"/>
      <c r="D256" s="72"/>
      <c r="E256" s="72"/>
      <c r="F256" s="72"/>
    </row>
    <row r="257" spans="1:6">
      <c r="A257" s="72"/>
      <c r="B257" s="72"/>
      <c r="C257" s="72"/>
      <c r="D257" s="72"/>
      <c r="E257" s="72"/>
      <c r="F257" s="72"/>
    </row>
    <row r="258" spans="1:6">
      <c r="A258" s="72"/>
      <c r="B258" s="72"/>
      <c r="C258" s="72"/>
      <c r="D258" s="72"/>
      <c r="E258" s="72"/>
      <c r="F258" s="72"/>
    </row>
    <row r="259" spans="1:6">
      <c r="A259" s="72"/>
      <c r="B259" s="72"/>
      <c r="C259" s="72"/>
      <c r="D259" s="72"/>
      <c r="E259" s="72"/>
      <c r="F259" s="72"/>
    </row>
    <row r="260" spans="1:6">
      <c r="A260" s="72"/>
      <c r="B260" s="72"/>
      <c r="C260" s="72"/>
      <c r="D260" s="72"/>
      <c r="E260" s="72"/>
      <c r="F260" s="72"/>
    </row>
    <row r="261" spans="1:6">
      <c r="A261" s="72"/>
      <c r="B261" s="72"/>
      <c r="C261" s="72"/>
      <c r="D261" s="72"/>
      <c r="E261" s="72"/>
      <c r="F261" s="72"/>
    </row>
    <row r="262" spans="1:6">
      <c r="A262" s="72"/>
      <c r="B262" s="72"/>
      <c r="C262" s="72"/>
      <c r="D262" s="72"/>
      <c r="E262" s="72"/>
      <c r="F262" s="72"/>
    </row>
    <row r="263" spans="1:6">
      <c r="A263" s="72"/>
      <c r="B263" s="72"/>
      <c r="C263" s="72"/>
      <c r="D263" s="72"/>
      <c r="E263" s="72"/>
      <c r="F263" s="72"/>
    </row>
    <row r="264" spans="1:6">
      <c r="A264" s="72"/>
      <c r="B264" s="72"/>
      <c r="C264" s="72"/>
      <c r="D264" s="72"/>
      <c r="E264" s="72"/>
      <c r="F264" s="72"/>
    </row>
    <row r="265" spans="1:6">
      <c r="A265" s="72"/>
      <c r="B265" s="72"/>
      <c r="C265" s="72"/>
      <c r="D265" s="72"/>
      <c r="E265" s="72"/>
      <c r="F265" s="72"/>
    </row>
    <row r="266" spans="1:6">
      <c r="A266" s="72"/>
      <c r="B266" s="72"/>
      <c r="C266" s="72"/>
      <c r="D266" s="72"/>
      <c r="E266" s="72"/>
      <c r="F266" s="72"/>
    </row>
    <row r="267" spans="1:6">
      <c r="A267" s="72"/>
      <c r="B267" s="72"/>
      <c r="C267" s="72"/>
      <c r="D267" s="72"/>
      <c r="E267" s="72"/>
      <c r="F267" s="72"/>
    </row>
    <row r="268" spans="1:6">
      <c r="A268" s="72"/>
      <c r="B268" s="72"/>
      <c r="C268" s="72"/>
      <c r="D268" s="72"/>
      <c r="E268" s="72"/>
      <c r="F268" s="72"/>
    </row>
    <row r="269" spans="1:6">
      <c r="A269" s="72"/>
      <c r="B269" s="72"/>
      <c r="C269" s="72"/>
      <c r="D269" s="72"/>
      <c r="E269" s="72"/>
      <c r="F269" s="72"/>
    </row>
    <row r="270" spans="1:6">
      <c r="A270" s="72"/>
      <c r="B270" s="72"/>
      <c r="C270" s="72"/>
      <c r="D270" s="72"/>
      <c r="E270" s="72"/>
      <c r="F270" s="72"/>
    </row>
    <row r="271" spans="1:6">
      <c r="A271" s="72"/>
      <c r="B271" s="72"/>
      <c r="C271" s="72"/>
      <c r="D271" s="72"/>
      <c r="E271" s="72"/>
      <c r="F271" s="72"/>
    </row>
    <row r="272" spans="1:6">
      <c r="A272" s="72"/>
      <c r="B272" s="72"/>
      <c r="C272" s="72"/>
      <c r="D272" s="72"/>
      <c r="E272" s="72"/>
      <c r="F272" s="72"/>
    </row>
    <row r="273" spans="1:6">
      <c r="A273" s="72"/>
      <c r="B273" s="72"/>
      <c r="C273" s="72"/>
      <c r="D273" s="72"/>
      <c r="E273" s="72"/>
      <c r="F273" s="72"/>
    </row>
    <row r="274" spans="1:6">
      <c r="A274" s="72"/>
      <c r="B274" s="72"/>
      <c r="C274" s="72"/>
      <c r="D274" s="72"/>
      <c r="E274" s="72"/>
      <c r="F274" s="72"/>
    </row>
    <row r="275" spans="1:6">
      <c r="A275" s="72"/>
      <c r="B275" s="72"/>
      <c r="C275" s="72"/>
      <c r="D275" s="72"/>
      <c r="E275" s="72"/>
      <c r="F275" s="72"/>
    </row>
    <row r="276" spans="1:6">
      <c r="A276" s="72"/>
      <c r="B276" s="72"/>
      <c r="C276" s="72"/>
      <c r="D276" s="72"/>
      <c r="E276" s="72"/>
      <c r="F276" s="72"/>
    </row>
    <row r="277" spans="1:6">
      <c r="A277" s="72"/>
      <c r="B277" s="72"/>
      <c r="C277" s="72"/>
      <c r="D277" s="72"/>
      <c r="E277" s="72"/>
      <c r="F277" s="72"/>
    </row>
    <row r="278" spans="1:6">
      <c r="A278" s="72"/>
      <c r="B278" s="72"/>
      <c r="C278" s="72"/>
      <c r="D278" s="72"/>
      <c r="E278" s="72"/>
      <c r="F278" s="72"/>
    </row>
    <row r="279" spans="1:6">
      <c r="A279" s="72"/>
      <c r="B279" s="72"/>
      <c r="C279" s="72"/>
      <c r="D279" s="72"/>
      <c r="E279" s="72"/>
      <c r="F279" s="72"/>
    </row>
    <row r="280" spans="1:6">
      <c r="A280" s="72"/>
      <c r="B280" s="72"/>
      <c r="C280" s="72"/>
      <c r="D280" s="72"/>
      <c r="E280" s="72"/>
      <c r="F280" s="72"/>
    </row>
    <row r="281" spans="1:6">
      <c r="A281" s="72"/>
      <c r="B281" s="72"/>
      <c r="C281" s="72"/>
      <c r="D281" s="72"/>
      <c r="E281" s="72"/>
      <c r="F281" s="72"/>
    </row>
    <row r="282" spans="1:6">
      <c r="A282" s="72"/>
      <c r="B282" s="72"/>
      <c r="C282" s="72"/>
      <c r="D282" s="72"/>
      <c r="E282" s="72"/>
      <c r="F282" s="72"/>
    </row>
    <row r="283" spans="1:6">
      <c r="A283" s="72"/>
      <c r="B283" s="72"/>
      <c r="C283" s="72"/>
      <c r="D283" s="72"/>
      <c r="E283" s="72"/>
      <c r="F283" s="72"/>
    </row>
    <row r="284" spans="1:6">
      <c r="A284" s="72"/>
      <c r="B284" s="72"/>
      <c r="C284" s="72"/>
      <c r="D284" s="72"/>
      <c r="E284" s="72"/>
      <c r="F284" s="72"/>
    </row>
    <row r="285" spans="1:6">
      <c r="A285" s="72"/>
      <c r="B285" s="72"/>
      <c r="C285" s="72"/>
      <c r="D285" s="72"/>
      <c r="E285" s="72"/>
      <c r="F285" s="72"/>
    </row>
    <row r="286" spans="1:6">
      <c r="A286" s="72"/>
      <c r="B286" s="72"/>
      <c r="C286" s="72"/>
      <c r="D286" s="72"/>
      <c r="E286" s="72"/>
      <c r="F286" s="72"/>
    </row>
    <row r="287" spans="1:6">
      <c r="A287" s="72"/>
      <c r="B287" s="72"/>
      <c r="C287" s="72"/>
      <c r="D287" s="72"/>
      <c r="E287" s="72"/>
      <c r="F287" s="72"/>
    </row>
    <row r="288" spans="1:6">
      <c r="A288" s="72"/>
      <c r="B288" s="72"/>
      <c r="C288" s="72"/>
      <c r="D288" s="72"/>
      <c r="E288" s="72"/>
      <c r="F288" s="72"/>
    </row>
    <row r="289" spans="1:6">
      <c r="A289" s="72"/>
      <c r="B289" s="72"/>
      <c r="C289" s="72"/>
      <c r="D289" s="72"/>
      <c r="E289" s="72"/>
      <c r="F289" s="72"/>
    </row>
    <row r="290" spans="1:6">
      <c r="A290" s="72"/>
      <c r="B290" s="72"/>
      <c r="C290" s="72"/>
      <c r="D290" s="72"/>
      <c r="E290" s="72"/>
      <c r="F290" s="72"/>
    </row>
    <row r="291" spans="1:6">
      <c r="A291" s="72"/>
      <c r="B291" s="72"/>
      <c r="C291" s="72"/>
      <c r="D291" s="72"/>
      <c r="E291" s="72"/>
      <c r="F291" s="72"/>
    </row>
    <row r="292" spans="1:6">
      <c r="A292" s="72"/>
      <c r="B292" s="72"/>
      <c r="C292" s="72"/>
      <c r="D292" s="72"/>
      <c r="E292" s="72"/>
      <c r="F292" s="72"/>
    </row>
    <row r="293" spans="1:6">
      <c r="A293" s="72"/>
      <c r="B293" s="72"/>
      <c r="C293" s="72"/>
      <c r="D293" s="72"/>
      <c r="E293" s="72"/>
      <c r="F293" s="72"/>
    </row>
    <row r="294" spans="1:6">
      <c r="A294" s="72"/>
      <c r="B294" s="72"/>
      <c r="C294" s="72"/>
      <c r="D294" s="72"/>
      <c r="E294" s="72"/>
      <c r="F294" s="72"/>
    </row>
    <row r="295" spans="1:6">
      <c r="A295" s="72"/>
      <c r="B295" s="72"/>
      <c r="C295" s="72"/>
      <c r="D295" s="72"/>
      <c r="E295" s="72"/>
      <c r="F295" s="72"/>
    </row>
    <row r="296" spans="1:6">
      <c r="A296" s="72"/>
      <c r="B296" s="72"/>
      <c r="C296" s="72"/>
      <c r="D296" s="72"/>
      <c r="E296" s="72"/>
      <c r="F296" s="72"/>
    </row>
    <row r="297" spans="1:6">
      <c r="A297" s="72"/>
      <c r="B297" s="72"/>
      <c r="C297" s="72"/>
      <c r="D297" s="72"/>
      <c r="E297" s="72"/>
      <c r="F297" s="72"/>
    </row>
    <row r="298" spans="1:6">
      <c r="A298" s="72"/>
      <c r="B298" s="72"/>
      <c r="C298" s="72"/>
      <c r="D298" s="72"/>
      <c r="E298" s="72"/>
      <c r="F298" s="72"/>
    </row>
    <row r="299" spans="1:6">
      <c r="A299" s="72"/>
      <c r="B299" s="72"/>
      <c r="C299" s="72"/>
      <c r="D299" s="72"/>
      <c r="E299" s="72"/>
      <c r="F299" s="72"/>
    </row>
    <row r="300" spans="1:6">
      <c r="A300" s="72"/>
      <c r="B300" s="72"/>
      <c r="C300" s="72"/>
      <c r="D300" s="72"/>
      <c r="E300" s="72"/>
      <c r="F300" s="72"/>
    </row>
    <row r="301" spans="1:6">
      <c r="A301" s="72"/>
      <c r="B301" s="72"/>
      <c r="C301" s="72"/>
      <c r="D301" s="72"/>
      <c r="E301" s="72"/>
      <c r="F301" s="72"/>
    </row>
    <row r="302" spans="1:6">
      <c r="A302" s="72"/>
      <c r="B302" s="72"/>
      <c r="C302" s="72"/>
      <c r="D302" s="72"/>
      <c r="E302" s="72"/>
      <c r="F302" s="72"/>
    </row>
    <row r="303" spans="1:6">
      <c r="A303" s="72"/>
      <c r="B303" s="72"/>
      <c r="C303" s="72"/>
      <c r="D303" s="72"/>
      <c r="E303" s="72"/>
      <c r="F303" s="72"/>
    </row>
    <row r="304" spans="1:6">
      <c r="A304" s="72"/>
      <c r="B304" s="72"/>
      <c r="C304" s="72"/>
      <c r="D304" s="72"/>
      <c r="E304" s="72"/>
      <c r="F304" s="72"/>
    </row>
    <row r="305" spans="1:6">
      <c r="A305" s="72"/>
      <c r="B305" s="72"/>
      <c r="C305" s="72"/>
      <c r="D305" s="72"/>
      <c r="E305" s="72"/>
      <c r="F305" s="72"/>
    </row>
    <row r="306" spans="1:6">
      <c r="A306" s="72"/>
      <c r="B306" s="72"/>
      <c r="C306" s="72"/>
      <c r="D306" s="72"/>
      <c r="E306" s="72"/>
      <c r="F306" s="72"/>
    </row>
    <row r="307" spans="1:6">
      <c r="A307" s="72"/>
      <c r="B307" s="72"/>
      <c r="C307" s="72"/>
      <c r="D307" s="72"/>
      <c r="E307" s="72"/>
      <c r="F307" s="72"/>
    </row>
    <row r="308" spans="1:6">
      <c r="A308" s="72"/>
      <c r="B308" s="72"/>
      <c r="C308" s="72"/>
      <c r="D308" s="72"/>
      <c r="E308" s="72"/>
      <c r="F308" s="72"/>
    </row>
    <row r="309" spans="1:6">
      <c r="A309" s="72"/>
      <c r="B309" s="72"/>
      <c r="C309" s="72"/>
      <c r="D309" s="72"/>
      <c r="E309" s="72"/>
      <c r="F309" s="72"/>
    </row>
    <row r="310" spans="1:6">
      <c r="A310" s="72"/>
      <c r="B310" s="72"/>
      <c r="C310" s="72"/>
      <c r="D310" s="72"/>
      <c r="E310" s="72"/>
      <c r="F310" s="72"/>
    </row>
    <row r="311" spans="1:6">
      <c r="A311" s="72"/>
      <c r="B311" s="72"/>
      <c r="C311" s="72"/>
      <c r="D311" s="72"/>
      <c r="E311" s="72"/>
      <c r="F311" s="72"/>
    </row>
    <row r="312" spans="1:6">
      <c r="A312" s="72"/>
      <c r="B312" s="72"/>
      <c r="C312" s="72"/>
      <c r="D312" s="72"/>
      <c r="E312" s="72"/>
      <c r="F312" s="72"/>
    </row>
    <row r="313" spans="1:6">
      <c r="A313" s="72"/>
      <c r="B313" s="72"/>
      <c r="C313" s="72"/>
      <c r="D313" s="72"/>
      <c r="E313" s="72"/>
      <c r="F313" s="72"/>
    </row>
    <row r="314" spans="1:6">
      <c r="A314" s="72"/>
      <c r="B314" s="72"/>
      <c r="C314" s="72"/>
      <c r="D314" s="72"/>
      <c r="E314" s="72"/>
      <c r="F314" s="72"/>
    </row>
    <row r="315" spans="1:6">
      <c r="A315" s="72"/>
      <c r="B315" s="72"/>
      <c r="C315" s="72"/>
      <c r="D315" s="72"/>
      <c r="E315" s="72"/>
      <c r="F315" s="72"/>
    </row>
    <row r="316" spans="1:6">
      <c r="A316" s="72"/>
      <c r="B316" s="72"/>
      <c r="C316" s="72"/>
      <c r="D316" s="72"/>
      <c r="E316" s="72"/>
      <c r="F316" s="72"/>
    </row>
    <row r="317" spans="1:6">
      <c r="A317" s="72"/>
      <c r="B317" s="72"/>
      <c r="C317" s="72"/>
      <c r="D317" s="72"/>
      <c r="E317" s="72"/>
      <c r="F317" s="72"/>
    </row>
    <row r="318" spans="1:6">
      <c r="A318" s="72"/>
      <c r="B318" s="72"/>
      <c r="C318" s="72"/>
      <c r="D318" s="72"/>
      <c r="E318" s="72"/>
      <c r="F318" s="72"/>
    </row>
    <row r="319" spans="1:6">
      <c r="A319" s="72"/>
      <c r="B319" s="72"/>
      <c r="C319" s="72"/>
      <c r="D319" s="72"/>
      <c r="E319" s="72"/>
      <c r="F319" s="72"/>
    </row>
    <row r="320" spans="1:6">
      <c r="A320" s="72"/>
      <c r="B320" s="72"/>
      <c r="C320" s="72"/>
      <c r="D320" s="72"/>
      <c r="E320" s="72"/>
      <c r="F320" s="72"/>
    </row>
    <row r="321" spans="1:6">
      <c r="A321" s="72"/>
      <c r="B321" s="72"/>
      <c r="C321" s="72"/>
      <c r="D321" s="72"/>
      <c r="E321" s="72"/>
      <c r="F321" s="72"/>
    </row>
    <row r="322" spans="1:6">
      <c r="A322" s="72"/>
      <c r="B322" s="72"/>
      <c r="C322" s="72"/>
      <c r="D322" s="72"/>
      <c r="E322" s="72"/>
      <c r="F322" s="72"/>
    </row>
    <row r="323" spans="1:6">
      <c r="A323" s="72"/>
      <c r="B323" s="72"/>
      <c r="C323" s="72"/>
      <c r="D323" s="72"/>
      <c r="E323" s="72"/>
      <c r="F323" s="72"/>
    </row>
    <row r="324" spans="1:6">
      <c r="A324" s="72"/>
      <c r="B324" s="72"/>
      <c r="C324" s="72"/>
      <c r="D324" s="72"/>
      <c r="E324" s="72"/>
      <c r="F324" s="72"/>
    </row>
    <row r="325" spans="1:6">
      <c r="A325" s="72"/>
      <c r="B325" s="72"/>
      <c r="C325" s="72"/>
      <c r="D325" s="72"/>
      <c r="E325" s="72"/>
      <c r="F325" s="72"/>
    </row>
    <row r="326" spans="1:6">
      <c r="A326" s="72"/>
      <c r="B326" s="72"/>
      <c r="C326" s="72"/>
      <c r="D326" s="72"/>
      <c r="E326" s="72"/>
      <c r="F326" s="72"/>
    </row>
    <row r="327" spans="1:6">
      <c r="A327" s="72"/>
      <c r="B327" s="72"/>
      <c r="C327" s="72"/>
      <c r="D327" s="72"/>
      <c r="E327" s="72"/>
      <c r="F327" s="72"/>
    </row>
    <row r="328" spans="1:6">
      <c r="A328" s="72"/>
      <c r="B328" s="72"/>
      <c r="C328" s="72"/>
      <c r="D328" s="72"/>
      <c r="E328" s="72"/>
      <c r="F328" s="72"/>
    </row>
    <row r="329" spans="1:6">
      <c r="A329" s="72"/>
      <c r="B329" s="72"/>
      <c r="C329" s="72"/>
      <c r="D329" s="72"/>
      <c r="E329" s="72"/>
      <c r="F329" s="72"/>
    </row>
    <row r="330" spans="1:6">
      <c r="A330" s="72"/>
      <c r="B330" s="72"/>
      <c r="C330" s="72"/>
      <c r="D330" s="72"/>
      <c r="E330" s="72"/>
      <c r="F330" s="72"/>
    </row>
    <row r="331" spans="1:6">
      <c r="A331" s="72"/>
      <c r="B331" s="72"/>
      <c r="C331" s="72"/>
      <c r="D331" s="72"/>
      <c r="E331" s="72"/>
      <c r="F331" s="72"/>
    </row>
    <row r="332" spans="1:6">
      <c r="A332" s="72"/>
      <c r="B332" s="72"/>
      <c r="C332" s="72"/>
      <c r="D332" s="72"/>
      <c r="E332" s="72"/>
      <c r="F332" s="72"/>
    </row>
    <row r="333" spans="1:6">
      <c r="A333" s="72"/>
      <c r="B333" s="72"/>
      <c r="C333" s="72"/>
      <c r="D333" s="72"/>
      <c r="E333" s="72"/>
      <c r="F333" s="72"/>
    </row>
    <row r="334" spans="1:6">
      <c r="A334" s="72"/>
      <c r="B334" s="72"/>
      <c r="C334" s="72"/>
      <c r="D334" s="72"/>
      <c r="E334" s="72"/>
      <c r="F334" s="72"/>
    </row>
    <row r="335" spans="1:6">
      <c r="A335" s="72"/>
      <c r="B335" s="72"/>
      <c r="C335" s="72"/>
      <c r="D335" s="72"/>
      <c r="E335" s="72"/>
      <c r="F335" s="72"/>
    </row>
    <row r="336" spans="1:6">
      <c r="A336" s="72"/>
      <c r="B336" s="72"/>
      <c r="C336" s="72"/>
      <c r="D336" s="72"/>
      <c r="E336" s="72"/>
      <c r="F336" s="72"/>
    </row>
    <row r="337" spans="1:6">
      <c r="A337" s="72"/>
      <c r="B337" s="72"/>
      <c r="C337" s="72"/>
      <c r="D337" s="72"/>
      <c r="E337" s="72"/>
      <c r="F337" s="72"/>
    </row>
    <row r="338" spans="1:6">
      <c r="A338" s="72"/>
      <c r="B338" s="72"/>
      <c r="C338" s="72"/>
      <c r="D338" s="72"/>
      <c r="E338" s="72"/>
      <c r="F338" s="72"/>
    </row>
    <row r="339" spans="1:6">
      <c r="A339" s="72"/>
      <c r="B339" s="72"/>
      <c r="C339" s="72"/>
      <c r="D339" s="72"/>
      <c r="E339" s="72"/>
      <c r="F339" s="72"/>
    </row>
    <row r="340" spans="1:6">
      <c r="A340" s="72"/>
      <c r="B340" s="72"/>
      <c r="C340" s="72"/>
      <c r="D340" s="72"/>
      <c r="E340" s="72"/>
      <c r="F340" s="72"/>
    </row>
    <row r="341" spans="1:6">
      <c r="A341" s="72"/>
      <c r="B341" s="72"/>
      <c r="C341" s="72"/>
      <c r="D341" s="72"/>
      <c r="E341" s="72"/>
      <c r="F341" s="72"/>
    </row>
    <row r="342" spans="1:6">
      <c r="A342" s="72"/>
      <c r="B342" s="72"/>
      <c r="C342" s="72"/>
      <c r="D342" s="72"/>
      <c r="E342" s="72"/>
      <c r="F342" s="72"/>
    </row>
    <row r="343" spans="1:6">
      <c r="A343" s="72"/>
      <c r="B343" s="72"/>
      <c r="C343" s="72"/>
      <c r="D343" s="72"/>
      <c r="E343" s="72"/>
      <c r="F343" s="72"/>
    </row>
    <row r="344" spans="1:6">
      <c r="A344" s="72"/>
      <c r="B344" s="72"/>
      <c r="C344" s="72"/>
      <c r="D344" s="72"/>
      <c r="E344" s="72"/>
      <c r="F344" s="72"/>
    </row>
    <row r="345" spans="1:6">
      <c r="A345" s="72"/>
      <c r="B345" s="72"/>
      <c r="C345" s="72"/>
      <c r="D345" s="72"/>
      <c r="E345" s="72"/>
      <c r="F345" s="72"/>
    </row>
    <row r="346" spans="1:6">
      <c r="A346" s="72"/>
      <c r="B346" s="72"/>
      <c r="C346" s="72"/>
      <c r="D346" s="72"/>
      <c r="E346" s="72"/>
      <c r="F346" s="72"/>
    </row>
    <row r="347" spans="1:6">
      <c r="A347" s="72"/>
      <c r="B347" s="72"/>
      <c r="C347" s="72"/>
      <c r="D347" s="72"/>
      <c r="E347" s="72"/>
      <c r="F347" s="72"/>
    </row>
    <row r="348" spans="1:6">
      <c r="A348" s="72"/>
      <c r="B348" s="72"/>
      <c r="C348" s="72"/>
      <c r="D348" s="72"/>
      <c r="E348" s="72"/>
      <c r="F348" s="72"/>
    </row>
    <row r="349" spans="1:6">
      <c r="A349" s="72"/>
      <c r="B349" s="72"/>
      <c r="C349" s="72"/>
      <c r="D349" s="72"/>
      <c r="E349" s="72"/>
      <c r="F349" s="72"/>
    </row>
    <row r="350" spans="1:6">
      <c r="A350" s="72"/>
      <c r="B350" s="72"/>
      <c r="C350" s="72"/>
      <c r="D350" s="72"/>
      <c r="E350" s="72"/>
      <c r="F350" s="72"/>
    </row>
    <row r="351" spans="1:6">
      <c r="A351" s="72"/>
      <c r="B351" s="72"/>
      <c r="C351" s="72"/>
      <c r="D351" s="72"/>
      <c r="E351" s="72"/>
      <c r="F351" s="72"/>
    </row>
    <row r="352" spans="1:6">
      <c r="A352" s="72"/>
      <c r="B352" s="72"/>
      <c r="C352" s="72"/>
      <c r="D352" s="72"/>
      <c r="E352" s="72"/>
      <c r="F352" s="72"/>
    </row>
    <row r="353" spans="1:6">
      <c r="A353" s="72"/>
      <c r="B353" s="72"/>
      <c r="C353" s="72"/>
      <c r="D353" s="72"/>
      <c r="E353" s="72"/>
      <c r="F353" s="72"/>
    </row>
    <row r="354" spans="1:6">
      <c r="A354" s="72"/>
      <c r="B354" s="72"/>
      <c r="C354" s="72"/>
      <c r="D354" s="72"/>
      <c r="E354" s="72"/>
      <c r="F354" s="72"/>
    </row>
    <row r="355" spans="1:6">
      <c r="A355" s="72"/>
      <c r="B355" s="72"/>
      <c r="C355" s="72"/>
      <c r="D355" s="72"/>
      <c r="E355" s="72"/>
      <c r="F355" s="72"/>
    </row>
    <row r="356" spans="1:6">
      <c r="A356" s="72"/>
      <c r="B356" s="72"/>
      <c r="C356" s="72"/>
      <c r="D356" s="72"/>
      <c r="E356" s="72"/>
      <c r="F356" s="72"/>
    </row>
    <row r="357" spans="1:6">
      <c r="A357" s="72"/>
      <c r="B357" s="72"/>
      <c r="C357" s="72"/>
      <c r="D357" s="72"/>
      <c r="E357" s="72"/>
      <c r="F357" s="72"/>
    </row>
    <row r="358" spans="1:6">
      <c r="A358" s="72"/>
      <c r="B358" s="72"/>
      <c r="C358" s="72"/>
      <c r="D358" s="72"/>
      <c r="E358" s="72"/>
      <c r="F358" s="72"/>
    </row>
    <row r="359" spans="1:6">
      <c r="A359" s="72"/>
      <c r="B359" s="72"/>
      <c r="C359" s="72"/>
      <c r="D359" s="72"/>
      <c r="E359" s="72"/>
      <c r="F359" s="72"/>
    </row>
    <row r="360" spans="1:6">
      <c r="A360" s="72"/>
      <c r="B360" s="72"/>
      <c r="C360" s="72"/>
      <c r="D360" s="72"/>
      <c r="E360" s="72"/>
      <c r="F360" s="72"/>
    </row>
    <row r="361" spans="1:6">
      <c r="A361" s="72"/>
      <c r="B361" s="72"/>
      <c r="C361" s="72"/>
      <c r="D361" s="72"/>
      <c r="E361" s="72"/>
      <c r="F361" s="72"/>
    </row>
    <row r="362" spans="1:6">
      <c r="A362" s="72"/>
      <c r="B362" s="72"/>
      <c r="C362" s="72"/>
      <c r="D362" s="72"/>
      <c r="E362" s="72"/>
      <c r="F362" s="72"/>
    </row>
    <row r="363" spans="1:6">
      <c r="A363" s="72"/>
      <c r="B363" s="72"/>
      <c r="C363" s="72"/>
      <c r="D363" s="72"/>
      <c r="E363" s="72"/>
      <c r="F363" s="72"/>
    </row>
    <row r="364" spans="1:6">
      <c r="A364" s="72"/>
      <c r="B364" s="72"/>
      <c r="C364" s="72"/>
      <c r="D364" s="72"/>
      <c r="E364" s="72"/>
      <c r="F364" s="72"/>
    </row>
    <row r="365" spans="1:6">
      <c r="A365" s="72"/>
      <c r="B365" s="72"/>
      <c r="C365" s="72"/>
      <c r="D365" s="72"/>
      <c r="E365" s="72"/>
      <c r="F365" s="72"/>
    </row>
    <row r="366" spans="1:6">
      <c r="A366" s="72"/>
      <c r="B366" s="72"/>
      <c r="C366" s="72"/>
      <c r="D366" s="72"/>
      <c r="E366" s="72"/>
      <c r="F366" s="72"/>
    </row>
    <row r="367" spans="1:6">
      <c r="A367" s="72"/>
      <c r="B367" s="72"/>
      <c r="C367" s="72"/>
      <c r="D367" s="72"/>
      <c r="E367" s="72"/>
      <c r="F367" s="72"/>
    </row>
    <row r="368" spans="1:6">
      <c r="A368" s="72"/>
      <c r="B368" s="72"/>
      <c r="C368" s="72"/>
      <c r="D368" s="72"/>
      <c r="E368" s="72"/>
      <c r="F368" s="72"/>
    </row>
    <row r="369" spans="1:6">
      <c r="A369" s="72"/>
      <c r="B369" s="72"/>
      <c r="C369" s="72"/>
      <c r="D369" s="72"/>
      <c r="E369" s="72"/>
      <c r="F369" s="72"/>
    </row>
    <row r="370" spans="1:6">
      <c r="A370" s="72"/>
      <c r="B370" s="72"/>
      <c r="C370" s="72"/>
      <c r="D370" s="72"/>
      <c r="E370" s="72"/>
      <c r="F370" s="72"/>
    </row>
    <row r="371" spans="1:6">
      <c r="A371" s="72"/>
      <c r="B371" s="72"/>
      <c r="C371" s="72"/>
      <c r="D371" s="72"/>
      <c r="E371" s="72"/>
      <c r="F371" s="72"/>
    </row>
    <row r="372" spans="1:6">
      <c r="A372" s="72"/>
      <c r="B372" s="72"/>
      <c r="C372" s="72"/>
      <c r="D372" s="72"/>
      <c r="E372" s="72"/>
      <c r="F372" s="72"/>
    </row>
    <row r="373" spans="1:6">
      <c r="A373" s="72"/>
      <c r="B373" s="72"/>
      <c r="C373" s="72"/>
      <c r="D373" s="72"/>
      <c r="E373" s="72"/>
      <c r="F373" s="72"/>
    </row>
    <row r="374" spans="1:6">
      <c r="A374" s="72"/>
      <c r="B374" s="72"/>
      <c r="C374" s="72"/>
      <c r="D374" s="72"/>
      <c r="E374" s="72"/>
      <c r="F374" s="72"/>
    </row>
    <row r="375" spans="1:6">
      <c r="A375" s="72"/>
      <c r="B375" s="72"/>
      <c r="C375" s="72"/>
      <c r="D375" s="72"/>
      <c r="E375" s="72"/>
      <c r="F375" s="72"/>
    </row>
    <row r="376" spans="1:6">
      <c r="A376" s="72"/>
      <c r="B376" s="72"/>
      <c r="C376" s="72"/>
      <c r="D376" s="72"/>
      <c r="E376" s="72"/>
      <c r="F376" s="72"/>
    </row>
    <row r="377" spans="1:6">
      <c r="A377" s="72"/>
      <c r="B377" s="72"/>
      <c r="C377" s="72"/>
      <c r="D377" s="72"/>
      <c r="E377" s="72"/>
      <c r="F377" s="72"/>
    </row>
    <row r="378" spans="1:6">
      <c r="A378" s="72"/>
      <c r="B378" s="72"/>
      <c r="C378" s="72"/>
      <c r="D378" s="72"/>
      <c r="E378" s="72"/>
      <c r="F378" s="72"/>
    </row>
    <row r="379" spans="1:6">
      <c r="A379" s="72"/>
      <c r="B379" s="72"/>
      <c r="C379" s="72"/>
      <c r="D379" s="72"/>
      <c r="E379" s="72"/>
      <c r="F379" s="72"/>
    </row>
    <row r="380" spans="1:6">
      <c r="A380" s="72"/>
      <c r="B380" s="72"/>
      <c r="C380" s="72"/>
      <c r="D380" s="72"/>
      <c r="E380" s="72"/>
      <c r="F380" s="72"/>
    </row>
    <row r="381" spans="1:6">
      <c r="A381" s="72"/>
      <c r="B381" s="72"/>
      <c r="C381" s="72"/>
      <c r="D381" s="72"/>
      <c r="E381" s="72"/>
      <c r="F381" s="72"/>
    </row>
    <row r="382" spans="1:6">
      <c r="A382" s="72"/>
      <c r="B382" s="72"/>
      <c r="C382" s="72"/>
      <c r="D382" s="72"/>
      <c r="E382" s="72"/>
      <c r="F382" s="72"/>
    </row>
    <row r="383" spans="1:6">
      <c r="A383" s="72"/>
      <c r="B383" s="72"/>
      <c r="C383" s="72"/>
      <c r="D383" s="72"/>
      <c r="E383" s="72"/>
      <c r="F383" s="72"/>
    </row>
    <row r="384" spans="1:6">
      <c r="A384" s="72"/>
      <c r="B384" s="72"/>
      <c r="C384" s="72"/>
      <c r="D384" s="72"/>
      <c r="E384" s="72"/>
      <c r="F384" s="72"/>
    </row>
    <row r="385" spans="1:6">
      <c r="A385" s="72"/>
      <c r="B385" s="72"/>
      <c r="C385" s="72"/>
      <c r="D385" s="72"/>
      <c r="E385" s="72"/>
      <c r="F385" s="72"/>
    </row>
    <row r="386" spans="1:6">
      <c r="A386" s="72"/>
      <c r="B386" s="72"/>
      <c r="C386" s="72"/>
      <c r="D386" s="72"/>
      <c r="E386" s="72"/>
      <c r="F386" s="72"/>
    </row>
    <row r="387" spans="1:6">
      <c r="A387" s="72"/>
      <c r="B387" s="72"/>
      <c r="C387" s="72"/>
      <c r="D387" s="72"/>
      <c r="E387" s="72"/>
      <c r="F387" s="72"/>
    </row>
    <row r="388" spans="1:6">
      <c r="A388" s="72"/>
      <c r="B388" s="72"/>
      <c r="C388" s="72"/>
      <c r="D388" s="72"/>
      <c r="E388" s="72"/>
      <c r="F388" s="72"/>
    </row>
    <row r="389" spans="1:6">
      <c r="A389" s="72"/>
      <c r="B389" s="72"/>
      <c r="C389" s="72"/>
      <c r="D389" s="72"/>
      <c r="E389" s="72"/>
      <c r="F389" s="72"/>
    </row>
    <row r="390" spans="1:6">
      <c r="A390" s="72"/>
      <c r="B390" s="72"/>
      <c r="C390" s="72"/>
      <c r="D390" s="72"/>
      <c r="E390" s="72"/>
      <c r="F390" s="72"/>
    </row>
    <row r="391" spans="1:6">
      <c r="A391" s="72"/>
      <c r="B391" s="72"/>
      <c r="C391" s="72"/>
      <c r="D391" s="72"/>
      <c r="E391" s="72"/>
      <c r="F391" s="72"/>
    </row>
    <row r="392" spans="1:6">
      <c r="A392" s="72"/>
      <c r="B392" s="72"/>
      <c r="C392" s="72"/>
      <c r="D392" s="72"/>
      <c r="E392" s="72"/>
      <c r="F392" s="72"/>
    </row>
    <row r="393" spans="1:6">
      <c r="A393" s="72"/>
      <c r="B393" s="72"/>
      <c r="C393" s="72"/>
      <c r="D393" s="72"/>
      <c r="E393" s="72"/>
      <c r="F393" s="72"/>
    </row>
    <row r="394" spans="1:6">
      <c r="A394" s="72"/>
      <c r="B394" s="72"/>
      <c r="C394" s="72"/>
      <c r="D394" s="72"/>
      <c r="E394" s="72"/>
      <c r="F394" s="72"/>
    </row>
    <row r="395" spans="1:6">
      <c r="A395" s="72"/>
      <c r="B395" s="72"/>
      <c r="C395" s="72"/>
      <c r="D395" s="72"/>
      <c r="E395" s="72"/>
      <c r="F395" s="72"/>
    </row>
    <row r="396" spans="1:6">
      <c r="A396" s="72"/>
      <c r="B396" s="72"/>
      <c r="C396" s="72"/>
      <c r="D396" s="72"/>
      <c r="E396" s="72"/>
      <c r="F396" s="72"/>
    </row>
    <row r="397" spans="1:6">
      <c r="A397" s="72"/>
      <c r="B397" s="72"/>
      <c r="C397" s="72"/>
      <c r="D397" s="72"/>
      <c r="E397" s="72"/>
      <c r="F397" s="72"/>
    </row>
    <row r="398" spans="1:6">
      <c r="A398" s="72"/>
      <c r="B398" s="72"/>
      <c r="C398" s="72"/>
      <c r="D398" s="72"/>
      <c r="E398" s="72"/>
      <c r="F398" s="72"/>
    </row>
    <row r="399" spans="1:6">
      <c r="A399" s="72"/>
      <c r="B399" s="72"/>
      <c r="C399" s="72"/>
      <c r="D399" s="72"/>
      <c r="E399" s="72"/>
      <c r="F399" s="72"/>
    </row>
    <row r="400" spans="1:6">
      <c r="A400" s="72"/>
      <c r="B400" s="72"/>
      <c r="C400" s="72"/>
      <c r="D400" s="72"/>
      <c r="E400" s="72"/>
      <c r="F400" s="72"/>
    </row>
    <row r="401" spans="1:6">
      <c r="A401" s="72"/>
      <c r="B401" s="72"/>
      <c r="C401" s="72"/>
      <c r="D401" s="72"/>
      <c r="E401" s="72"/>
      <c r="F401" s="72"/>
    </row>
    <row r="402" spans="1:6">
      <c r="A402" s="72"/>
      <c r="B402" s="72"/>
      <c r="C402" s="72"/>
      <c r="D402" s="72"/>
      <c r="E402" s="72"/>
      <c r="F402" s="72"/>
    </row>
    <row r="403" spans="1:6">
      <c r="A403" s="72"/>
      <c r="B403" s="72"/>
      <c r="C403" s="72"/>
      <c r="D403" s="72"/>
      <c r="E403" s="72"/>
      <c r="F403" s="72"/>
    </row>
    <row r="404" spans="1:6">
      <c r="A404" s="72"/>
      <c r="B404" s="72"/>
      <c r="C404" s="72"/>
      <c r="D404" s="72"/>
      <c r="E404" s="72"/>
      <c r="F404" s="72"/>
    </row>
    <row r="405" spans="1:6">
      <c r="A405" s="72"/>
      <c r="B405" s="72"/>
      <c r="C405" s="72"/>
      <c r="D405" s="72"/>
      <c r="E405" s="72"/>
      <c r="F405" s="72"/>
    </row>
    <row r="406" spans="1:6">
      <c r="A406" s="72"/>
      <c r="B406" s="72"/>
      <c r="C406" s="72"/>
      <c r="D406" s="72"/>
      <c r="E406" s="72"/>
      <c r="F406" s="72"/>
    </row>
    <row r="407" spans="1:6">
      <c r="A407" s="72"/>
      <c r="B407" s="72"/>
      <c r="C407" s="72"/>
      <c r="D407" s="72"/>
      <c r="E407" s="72"/>
      <c r="F407" s="72"/>
    </row>
    <row r="408" spans="1:6">
      <c r="A408" s="72"/>
      <c r="B408" s="72"/>
      <c r="C408" s="72"/>
      <c r="D408" s="72"/>
      <c r="E408" s="72"/>
      <c r="F408" s="72"/>
    </row>
    <row r="409" spans="1:6">
      <c r="A409" s="72"/>
      <c r="B409" s="72"/>
      <c r="C409" s="72"/>
      <c r="D409" s="72"/>
      <c r="E409" s="72"/>
      <c r="F409" s="72"/>
    </row>
    <row r="410" spans="1:6">
      <c r="A410" s="72"/>
      <c r="B410" s="72"/>
      <c r="C410" s="72"/>
      <c r="D410" s="72"/>
      <c r="E410" s="72"/>
      <c r="F410" s="72"/>
    </row>
    <row r="411" spans="1:6">
      <c r="A411" s="72"/>
      <c r="B411" s="72"/>
      <c r="C411" s="72"/>
      <c r="D411" s="72"/>
      <c r="E411" s="72"/>
      <c r="F411" s="72"/>
    </row>
    <row r="412" spans="1:6">
      <c r="A412" s="72"/>
      <c r="B412" s="72"/>
      <c r="C412" s="72"/>
      <c r="D412" s="72"/>
      <c r="E412" s="72"/>
      <c r="F412" s="72"/>
    </row>
    <row r="413" spans="1:6">
      <c r="A413" s="72"/>
      <c r="B413" s="72"/>
      <c r="C413" s="72"/>
      <c r="D413" s="72"/>
      <c r="E413" s="72"/>
      <c r="F413" s="72"/>
    </row>
    <row r="414" spans="1:6">
      <c r="A414" s="72"/>
      <c r="B414" s="72"/>
      <c r="C414" s="72"/>
      <c r="D414" s="72"/>
      <c r="E414" s="72"/>
      <c r="F414" s="72"/>
    </row>
    <row r="415" spans="1:6">
      <c r="A415" s="72"/>
      <c r="B415" s="72"/>
      <c r="C415" s="72"/>
      <c r="D415" s="72"/>
      <c r="E415" s="72"/>
      <c r="F415" s="72"/>
    </row>
    <row r="416" spans="1:6">
      <c r="A416" s="72"/>
      <c r="B416" s="72"/>
      <c r="C416" s="72"/>
      <c r="D416" s="72"/>
      <c r="E416" s="72"/>
      <c r="F416" s="72"/>
    </row>
    <row r="417" spans="1:6">
      <c r="A417" s="72"/>
      <c r="B417" s="72"/>
      <c r="C417" s="72"/>
      <c r="D417" s="72"/>
      <c r="E417" s="72"/>
      <c r="F417" s="72"/>
    </row>
    <row r="418" spans="1:6">
      <c r="A418" s="72"/>
      <c r="B418" s="72"/>
      <c r="C418" s="72"/>
      <c r="D418" s="72"/>
      <c r="E418" s="72"/>
      <c r="F418" s="72"/>
    </row>
    <row r="419" spans="1:6">
      <c r="A419" s="72"/>
      <c r="B419" s="72"/>
      <c r="C419" s="72"/>
      <c r="D419" s="72"/>
      <c r="E419" s="72"/>
      <c r="F419" s="72"/>
    </row>
    <row r="420" spans="1:6">
      <c r="A420" s="72"/>
      <c r="B420" s="72"/>
      <c r="C420" s="72"/>
      <c r="D420" s="72"/>
      <c r="E420" s="72"/>
      <c r="F420" s="72"/>
    </row>
    <row r="421" spans="1:6">
      <c r="A421" s="72"/>
      <c r="B421" s="72"/>
      <c r="C421" s="72"/>
      <c r="D421" s="72"/>
      <c r="E421" s="72"/>
      <c r="F421" s="72"/>
    </row>
    <row r="422" spans="1:6">
      <c r="A422" s="72"/>
      <c r="B422" s="72"/>
      <c r="C422" s="72"/>
      <c r="D422" s="72"/>
      <c r="E422" s="72"/>
      <c r="F422" s="72"/>
    </row>
    <row r="423" spans="1:6">
      <c r="A423" s="72"/>
      <c r="B423" s="72"/>
      <c r="C423" s="72"/>
      <c r="D423" s="72"/>
      <c r="E423" s="72"/>
      <c r="F423" s="72"/>
    </row>
    <row r="424" spans="1:6">
      <c r="A424" s="72"/>
      <c r="B424" s="72"/>
      <c r="C424" s="72"/>
      <c r="D424" s="72"/>
      <c r="E424" s="72"/>
      <c r="F424" s="72"/>
    </row>
    <row r="425" spans="1:6">
      <c r="A425" s="72"/>
      <c r="B425" s="72"/>
      <c r="C425" s="72"/>
      <c r="D425" s="72"/>
      <c r="E425" s="72"/>
      <c r="F425" s="72"/>
    </row>
    <row r="426" spans="1:6">
      <c r="A426" s="72"/>
      <c r="B426" s="72"/>
      <c r="C426" s="72"/>
      <c r="D426" s="72"/>
      <c r="E426" s="72"/>
      <c r="F426" s="72"/>
    </row>
    <row r="427" spans="1:6">
      <c r="A427" s="72"/>
      <c r="B427" s="72"/>
      <c r="C427" s="72"/>
      <c r="D427" s="72"/>
      <c r="E427" s="72"/>
      <c r="F427" s="72"/>
    </row>
    <row r="428" spans="1:6">
      <c r="A428" s="72"/>
      <c r="B428" s="72"/>
      <c r="C428" s="72"/>
      <c r="D428" s="72"/>
      <c r="E428" s="72"/>
      <c r="F428" s="72"/>
    </row>
    <row r="429" spans="1:6">
      <c r="A429" s="72"/>
      <c r="B429" s="72"/>
      <c r="C429" s="72"/>
      <c r="D429" s="72"/>
      <c r="E429" s="72"/>
      <c r="F429" s="72"/>
    </row>
    <row r="430" spans="1:6">
      <c r="A430" s="72"/>
      <c r="B430" s="72"/>
      <c r="C430" s="72"/>
      <c r="D430" s="72"/>
      <c r="E430" s="72"/>
      <c r="F430" s="72"/>
    </row>
    <row r="431" spans="1:6">
      <c r="A431" s="72"/>
      <c r="B431" s="72"/>
      <c r="C431" s="72"/>
      <c r="D431" s="72"/>
      <c r="E431" s="72"/>
      <c r="F431" s="72"/>
    </row>
    <row r="432" spans="1:6">
      <c r="A432" s="72"/>
      <c r="B432" s="72"/>
      <c r="C432" s="72"/>
      <c r="D432" s="72"/>
      <c r="E432" s="72"/>
      <c r="F432" s="72"/>
    </row>
    <row r="433" spans="1:6">
      <c r="A433" s="72"/>
      <c r="B433" s="72"/>
      <c r="C433" s="72"/>
      <c r="D433" s="72"/>
      <c r="E433" s="72"/>
      <c r="F433" s="72"/>
    </row>
    <row r="434" spans="1:6">
      <c r="A434" s="72"/>
      <c r="B434" s="72"/>
      <c r="C434" s="72"/>
      <c r="D434" s="72"/>
      <c r="E434" s="72"/>
      <c r="F434" s="72"/>
    </row>
    <row r="435" spans="1:6">
      <c r="A435" s="72"/>
      <c r="B435" s="72"/>
      <c r="C435" s="72"/>
      <c r="D435" s="72"/>
      <c r="E435" s="72"/>
      <c r="F435" s="72"/>
    </row>
    <row r="436" spans="1:6">
      <c r="A436" s="72"/>
      <c r="B436" s="72"/>
      <c r="C436" s="72"/>
      <c r="D436" s="72"/>
      <c r="E436" s="72"/>
      <c r="F436" s="72"/>
    </row>
    <row r="437" spans="1:6">
      <c r="A437" s="72"/>
      <c r="B437" s="72"/>
      <c r="C437" s="72"/>
      <c r="D437" s="72"/>
      <c r="E437" s="72"/>
      <c r="F437" s="72"/>
    </row>
    <row r="438" spans="1:6">
      <c r="A438" s="72"/>
      <c r="B438" s="72"/>
      <c r="C438" s="72"/>
      <c r="D438" s="72"/>
      <c r="E438" s="72"/>
      <c r="F438" s="72"/>
    </row>
    <row r="439" spans="1:6">
      <c r="A439" s="72"/>
      <c r="B439" s="72"/>
      <c r="C439" s="72"/>
      <c r="D439" s="72"/>
      <c r="E439" s="72"/>
      <c r="F439" s="72"/>
    </row>
    <row r="440" spans="1:6">
      <c r="A440" s="72"/>
      <c r="B440" s="72"/>
      <c r="C440" s="72"/>
      <c r="D440" s="72"/>
      <c r="E440" s="72"/>
      <c r="F440" s="72"/>
    </row>
    <row r="441" spans="1:6">
      <c r="A441" s="72"/>
      <c r="B441" s="72"/>
      <c r="C441" s="72"/>
      <c r="D441" s="72"/>
      <c r="E441" s="72"/>
      <c r="F441" s="72"/>
    </row>
    <row r="442" spans="1:6">
      <c r="A442" s="72"/>
      <c r="B442" s="72"/>
      <c r="C442" s="72"/>
      <c r="D442" s="72"/>
      <c r="E442" s="72"/>
      <c r="F442" s="72"/>
    </row>
    <row r="443" spans="1:6">
      <c r="A443" s="72"/>
      <c r="B443" s="72"/>
      <c r="C443" s="72"/>
      <c r="D443" s="72"/>
      <c r="E443" s="72"/>
      <c r="F443" s="72"/>
    </row>
    <row r="444" spans="1:6">
      <c r="A444" s="72"/>
      <c r="B444" s="72"/>
      <c r="C444" s="72"/>
      <c r="D444" s="72"/>
      <c r="E444" s="72"/>
      <c r="F444" s="72"/>
    </row>
    <row r="445" spans="1:6">
      <c r="A445" s="72"/>
      <c r="B445" s="72"/>
      <c r="C445" s="72"/>
      <c r="D445" s="72"/>
      <c r="E445" s="72"/>
      <c r="F445" s="72"/>
    </row>
    <row r="446" spans="1:6">
      <c r="A446" s="72"/>
      <c r="B446" s="72"/>
      <c r="C446" s="72"/>
      <c r="D446" s="72"/>
      <c r="E446" s="72"/>
      <c r="F446" s="72"/>
    </row>
    <row r="447" spans="1:6">
      <c r="A447" s="72"/>
      <c r="B447" s="72"/>
      <c r="C447" s="72"/>
      <c r="D447" s="72"/>
      <c r="E447" s="72"/>
      <c r="F447" s="72"/>
    </row>
    <row r="448" spans="1:6">
      <c r="A448" s="72"/>
      <c r="B448" s="72"/>
      <c r="C448" s="72"/>
      <c r="D448" s="72"/>
      <c r="E448" s="72"/>
      <c r="F448" s="72"/>
    </row>
    <row r="449" spans="1:6">
      <c r="A449" s="72"/>
      <c r="B449" s="72"/>
      <c r="C449" s="72"/>
      <c r="D449" s="72"/>
      <c r="E449" s="72"/>
      <c r="F449" s="72"/>
    </row>
    <row r="450" spans="1:6">
      <c r="A450" s="72"/>
      <c r="B450" s="72"/>
      <c r="C450" s="72"/>
      <c r="D450" s="72"/>
      <c r="E450" s="72"/>
      <c r="F450" s="72"/>
    </row>
    <row r="451" spans="1:6">
      <c r="A451" s="72"/>
      <c r="B451" s="72"/>
      <c r="C451" s="72"/>
      <c r="D451" s="72"/>
      <c r="E451" s="72"/>
      <c r="F451" s="72"/>
    </row>
    <row r="452" spans="1:6">
      <c r="A452" s="72"/>
      <c r="B452" s="72"/>
      <c r="C452" s="72"/>
      <c r="D452" s="72"/>
      <c r="E452" s="72"/>
      <c r="F452" s="72"/>
    </row>
    <row r="453" spans="1:6">
      <c r="A453" s="72"/>
      <c r="B453" s="72"/>
      <c r="C453" s="72"/>
      <c r="D453" s="72"/>
      <c r="E453" s="72"/>
      <c r="F453" s="72"/>
    </row>
    <row r="454" spans="1:6">
      <c r="A454" s="72"/>
      <c r="B454" s="72"/>
      <c r="C454" s="72"/>
      <c r="D454" s="72"/>
      <c r="E454" s="72"/>
      <c r="F454" s="72"/>
    </row>
    <row r="455" spans="1:6">
      <c r="A455" s="72"/>
      <c r="B455" s="72"/>
      <c r="C455" s="72"/>
      <c r="D455" s="72"/>
      <c r="E455" s="72"/>
      <c r="F455" s="72"/>
    </row>
    <row r="456" spans="1:6">
      <c r="A456" s="72"/>
      <c r="B456" s="72"/>
      <c r="C456" s="72"/>
      <c r="D456" s="72"/>
      <c r="E456" s="72"/>
      <c r="F456" s="72"/>
    </row>
    <row r="457" spans="1:6">
      <c r="A457" s="72"/>
      <c r="B457" s="72"/>
      <c r="C457" s="72"/>
      <c r="D457" s="72"/>
      <c r="E457" s="72"/>
      <c r="F457" s="72"/>
    </row>
    <row r="458" spans="1:6">
      <c r="A458" s="72"/>
      <c r="B458" s="72"/>
      <c r="C458" s="72"/>
      <c r="D458" s="72"/>
      <c r="E458" s="72"/>
      <c r="F458" s="72"/>
    </row>
    <row r="459" spans="1:6">
      <c r="A459" s="72"/>
      <c r="B459" s="72"/>
      <c r="C459" s="72"/>
      <c r="D459" s="72"/>
      <c r="E459" s="72"/>
      <c r="F459" s="72"/>
    </row>
    <row r="460" spans="1:6">
      <c r="A460" s="72"/>
      <c r="B460" s="72"/>
      <c r="C460" s="72"/>
      <c r="D460" s="72"/>
      <c r="E460" s="72"/>
      <c r="F460" s="72"/>
    </row>
    <row r="461" spans="1:6">
      <c r="A461" s="72"/>
      <c r="B461" s="72"/>
      <c r="C461" s="72"/>
      <c r="D461" s="72"/>
      <c r="E461" s="72"/>
      <c r="F461" s="72"/>
    </row>
    <row r="462" spans="1:6">
      <c r="A462" s="72"/>
      <c r="B462" s="72"/>
      <c r="C462" s="72"/>
      <c r="D462" s="72"/>
      <c r="E462" s="72"/>
      <c r="F462" s="72"/>
    </row>
    <row r="463" spans="1:6">
      <c r="A463" s="72"/>
      <c r="B463" s="72"/>
      <c r="C463" s="72"/>
      <c r="D463" s="72"/>
      <c r="E463" s="72"/>
      <c r="F463" s="72"/>
    </row>
    <row r="464" spans="1:6">
      <c r="A464" s="72"/>
      <c r="B464" s="72"/>
      <c r="C464" s="72"/>
      <c r="D464" s="72"/>
      <c r="E464" s="72"/>
      <c r="F464" s="72"/>
    </row>
    <row r="465" spans="1:6">
      <c r="A465" s="72"/>
      <c r="B465" s="72"/>
      <c r="C465" s="72"/>
      <c r="D465" s="72"/>
      <c r="E465" s="72"/>
      <c r="F465" s="72"/>
    </row>
    <row r="466" spans="1:6">
      <c r="A466" s="72"/>
      <c r="B466" s="72"/>
      <c r="C466" s="72"/>
      <c r="D466" s="72"/>
      <c r="E466" s="72"/>
      <c r="F466" s="72"/>
    </row>
    <row r="467" spans="1:6">
      <c r="A467" s="72"/>
      <c r="B467" s="72"/>
      <c r="C467" s="72"/>
      <c r="D467" s="72"/>
      <c r="E467" s="72"/>
      <c r="F467" s="72"/>
    </row>
    <row r="468" spans="1:6">
      <c r="A468" s="72"/>
      <c r="B468" s="72"/>
      <c r="C468" s="72"/>
      <c r="D468" s="72"/>
      <c r="E468" s="72"/>
      <c r="F468" s="72"/>
    </row>
    <row r="469" spans="1:6">
      <c r="A469" s="72"/>
      <c r="B469" s="72"/>
      <c r="C469" s="72"/>
      <c r="D469" s="72"/>
      <c r="E469" s="72"/>
      <c r="F469" s="72"/>
    </row>
    <row r="470" spans="1:6">
      <c r="A470" s="72"/>
      <c r="B470" s="72"/>
      <c r="C470" s="72"/>
      <c r="D470" s="72"/>
      <c r="E470" s="72"/>
      <c r="F470" s="72"/>
    </row>
    <row r="471" spans="1:6">
      <c r="A471" s="72"/>
      <c r="B471" s="72"/>
      <c r="C471" s="72"/>
      <c r="D471" s="72"/>
      <c r="E471" s="72"/>
      <c r="F471" s="72"/>
    </row>
    <row r="472" spans="1:6">
      <c r="A472" s="72"/>
      <c r="B472" s="72"/>
      <c r="C472" s="72"/>
      <c r="D472" s="72"/>
      <c r="E472" s="72"/>
      <c r="F472" s="72"/>
    </row>
    <row r="473" spans="1:6">
      <c r="A473" s="72"/>
      <c r="B473" s="72"/>
      <c r="C473" s="72"/>
      <c r="D473" s="72"/>
      <c r="E473" s="72"/>
      <c r="F473" s="72"/>
    </row>
    <row r="474" spans="1:6">
      <c r="A474" s="72"/>
      <c r="B474" s="72"/>
      <c r="C474" s="72"/>
      <c r="D474" s="72"/>
      <c r="E474" s="72"/>
      <c r="F474" s="72"/>
    </row>
    <row r="475" spans="1:6">
      <c r="A475" s="72"/>
      <c r="B475" s="72"/>
      <c r="C475" s="72"/>
      <c r="D475" s="72"/>
      <c r="E475" s="72"/>
      <c r="F475" s="72"/>
    </row>
    <row r="476" spans="1:6">
      <c r="A476" s="72"/>
      <c r="B476" s="72"/>
      <c r="C476" s="72"/>
      <c r="D476" s="72"/>
      <c r="E476" s="72"/>
      <c r="F476" s="72"/>
    </row>
    <row r="477" spans="1:6">
      <c r="A477" s="72"/>
      <c r="B477" s="72"/>
      <c r="C477" s="72"/>
      <c r="D477" s="72"/>
      <c r="E477" s="72"/>
      <c r="F477" s="72"/>
    </row>
    <row r="478" spans="1:6">
      <c r="A478" s="72"/>
      <c r="B478" s="72"/>
      <c r="C478" s="72"/>
      <c r="D478" s="72"/>
      <c r="E478" s="72"/>
      <c r="F478" s="72"/>
    </row>
    <row r="479" spans="1:6">
      <c r="A479" s="72"/>
      <c r="B479" s="72"/>
      <c r="C479" s="72"/>
      <c r="D479" s="72"/>
      <c r="E479" s="72"/>
      <c r="F479" s="72"/>
    </row>
    <row r="480" spans="1:6">
      <c r="A480" s="72"/>
      <c r="B480" s="72"/>
      <c r="C480" s="72"/>
      <c r="D480" s="72"/>
      <c r="E480" s="72"/>
      <c r="F480" s="72"/>
    </row>
    <row r="481" spans="1:6">
      <c r="A481" s="72"/>
      <c r="B481" s="72"/>
      <c r="C481" s="72"/>
      <c r="D481" s="72"/>
      <c r="E481" s="72"/>
      <c r="F481" s="72"/>
    </row>
    <row r="482" spans="1:6">
      <c r="A482" s="72"/>
      <c r="B482" s="72"/>
      <c r="C482" s="72"/>
      <c r="D482" s="72"/>
      <c r="E482" s="72"/>
      <c r="F482" s="72"/>
    </row>
    <row r="483" spans="1:6">
      <c r="A483" s="72"/>
      <c r="B483" s="72"/>
      <c r="C483" s="72"/>
      <c r="D483" s="72"/>
      <c r="E483" s="72"/>
      <c r="F483" s="72"/>
    </row>
    <row r="484" spans="1:6">
      <c r="A484" s="72"/>
      <c r="B484" s="72"/>
      <c r="C484" s="72"/>
      <c r="D484" s="72"/>
      <c r="E484" s="72"/>
      <c r="F484" s="72"/>
    </row>
    <row r="485" spans="1:6">
      <c r="A485" s="72"/>
      <c r="B485" s="72"/>
      <c r="C485" s="72"/>
      <c r="D485" s="72"/>
      <c r="E485" s="72"/>
      <c r="F485" s="72"/>
    </row>
    <row r="486" spans="1:6">
      <c r="A486" s="72"/>
      <c r="B486" s="72"/>
      <c r="C486" s="72"/>
      <c r="D486" s="72"/>
      <c r="E486" s="72"/>
      <c r="F486" s="72"/>
    </row>
    <row r="487" spans="1:6">
      <c r="A487" s="72"/>
      <c r="B487" s="72"/>
      <c r="C487" s="72"/>
      <c r="D487" s="72"/>
      <c r="E487" s="72"/>
      <c r="F487" s="72"/>
    </row>
    <row r="488" spans="1:6">
      <c r="A488" s="72"/>
      <c r="B488" s="72"/>
      <c r="C488" s="72"/>
      <c r="D488" s="72"/>
      <c r="E488" s="72"/>
      <c r="F488" s="72"/>
    </row>
    <row r="489" spans="1:6">
      <c r="A489" s="72"/>
      <c r="B489" s="72"/>
      <c r="C489" s="72"/>
      <c r="D489" s="72"/>
      <c r="E489" s="72"/>
      <c r="F489" s="72"/>
    </row>
    <row r="490" spans="1:6">
      <c r="A490" s="72"/>
      <c r="B490" s="72"/>
      <c r="C490" s="72"/>
      <c r="D490" s="72"/>
      <c r="E490" s="72"/>
      <c r="F490" s="72"/>
    </row>
    <row r="491" spans="1:6">
      <c r="A491" s="72"/>
      <c r="B491" s="72"/>
      <c r="C491" s="72"/>
      <c r="D491" s="72"/>
      <c r="E491" s="72"/>
      <c r="F491" s="72"/>
    </row>
    <row r="492" spans="1:6">
      <c r="A492" s="72"/>
      <c r="B492" s="72"/>
      <c r="C492" s="72"/>
      <c r="D492" s="72"/>
      <c r="E492" s="72"/>
      <c r="F492" s="72"/>
    </row>
    <row r="493" spans="1:6">
      <c r="A493" s="72"/>
      <c r="B493" s="72"/>
      <c r="C493" s="72"/>
      <c r="D493" s="72"/>
      <c r="E493" s="72"/>
      <c r="F493" s="72"/>
    </row>
    <row r="494" spans="1:6">
      <c r="A494" s="72"/>
      <c r="B494" s="72"/>
      <c r="C494" s="72"/>
      <c r="D494" s="72"/>
      <c r="E494" s="72"/>
      <c r="F494" s="72"/>
    </row>
    <row r="495" spans="1:6">
      <c r="A495" s="72"/>
      <c r="B495" s="72"/>
      <c r="C495" s="72"/>
      <c r="D495" s="72"/>
      <c r="E495" s="72"/>
      <c r="F495" s="72"/>
    </row>
    <row r="496" spans="1:6">
      <c r="A496" s="72"/>
      <c r="B496" s="72"/>
      <c r="C496" s="72"/>
      <c r="D496" s="72"/>
      <c r="E496" s="72"/>
      <c r="F496" s="72"/>
    </row>
    <row r="497" spans="1:6">
      <c r="A497" s="72"/>
      <c r="B497" s="72"/>
      <c r="C497" s="72"/>
      <c r="D497" s="72"/>
      <c r="E497" s="72"/>
      <c r="F497" s="72"/>
    </row>
    <row r="498" spans="1:6">
      <c r="A498" s="72"/>
      <c r="B498" s="72"/>
      <c r="C498" s="72"/>
      <c r="D498" s="72"/>
      <c r="E498" s="72"/>
      <c r="F498" s="72"/>
    </row>
    <row r="499" spans="1:6">
      <c r="A499" s="72"/>
      <c r="B499" s="72"/>
      <c r="C499" s="72"/>
      <c r="D499" s="72"/>
      <c r="E499" s="72"/>
      <c r="F499" s="72"/>
    </row>
    <row r="500" spans="1:6">
      <c r="A500" s="72"/>
      <c r="B500" s="72"/>
      <c r="C500" s="72"/>
      <c r="D500" s="72"/>
      <c r="E500" s="72"/>
      <c r="F500" s="72"/>
    </row>
    <row r="501" spans="1:6">
      <c r="A501" s="72"/>
      <c r="B501" s="72"/>
      <c r="C501" s="72"/>
      <c r="D501" s="72"/>
      <c r="E501" s="72"/>
      <c r="F501" s="72"/>
    </row>
    <row r="502" spans="1:6">
      <c r="A502" s="72"/>
      <c r="B502" s="72"/>
      <c r="C502" s="72"/>
      <c r="D502" s="72"/>
      <c r="E502" s="72"/>
      <c r="F502" s="72"/>
    </row>
    <row r="503" spans="1:6">
      <c r="A503" s="72"/>
      <c r="B503" s="72"/>
      <c r="C503" s="72"/>
      <c r="D503" s="72"/>
      <c r="E503" s="72"/>
      <c r="F503" s="72"/>
    </row>
    <row r="504" spans="1:6">
      <c r="A504" s="72"/>
      <c r="B504" s="72"/>
      <c r="C504" s="72"/>
      <c r="D504" s="72"/>
      <c r="E504" s="72"/>
      <c r="F504" s="72"/>
    </row>
    <row r="505" spans="1:6">
      <c r="A505" s="72"/>
      <c r="B505" s="72"/>
      <c r="C505" s="72"/>
      <c r="D505" s="72"/>
      <c r="E505" s="72"/>
      <c r="F505" s="72"/>
    </row>
    <row r="506" spans="1:6">
      <c r="A506" s="72"/>
      <c r="B506" s="72"/>
      <c r="C506" s="72"/>
      <c r="D506" s="72"/>
      <c r="E506" s="72"/>
      <c r="F506" s="72"/>
    </row>
    <row r="507" spans="1:6">
      <c r="A507" s="72"/>
      <c r="B507" s="72"/>
      <c r="C507" s="72"/>
      <c r="D507" s="72"/>
      <c r="E507" s="72"/>
      <c r="F507" s="72"/>
    </row>
    <row r="508" spans="1:6">
      <c r="A508" s="72"/>
      <c r="B508" s="72"/>
      <c r="C508" s="72"/>
      <c r="D508" s="72"/>
      <c r="E508" s="72"/>
      <c r="F508" s="72"/>
    </row>
    <row r="509" spans="1:6">
      <c r="A509" s="72"/>
      <c r="B509" s="72"/>
      <c r="C509" s="72"/>
      <c r="D509" s="72"/>
      <c r="E509" s="72"/>
      <c r="F509" s="72"/>
    </row>
    <row r="510" spans="1:6">
      <c r="A510" s="72"/>
      <c r="B510" s="72"/>
      <c r="C510" s="72"/>
      <c r="D510" s="72"/>
      <c r="E510" s="72"/>
      <c r="F510" s="72"/>
    </row>
    <row r="511" spans="1:6">
      <c r="A511" s="72"/>
      <c r="B511" s="72"/>
      <c r="C511" s="72"/>
      <c r="D511" s="72"/>
      <c r="E511" s="72"/>
      <c r="F511" s="72"/>
    </row>
    <row r="512" spans="1:6">
      <c r="A512" s="72"/>
      <c r="B512" s="72"/>
      <c r="C512" s="72"/>
      <c r="D512" s="72"/>
      <c r="E512" s="72"/>
      <c r="F512" s="72"/>
    </row>
    <row r="513" spans="1:6">
      <c r="A513" s="72"/>
      <c r="B513" s="72"/>
      <c r="C513" s="72"/>
      <c r="D513" s="72"/>
      <c r="E513" s="72"/>
      <c r="F513" s="72"/>
    </row>
    <row r="514" spans="1:6">
      <c r="A514" s="72"/>
      <c r="B514" s="72"/>
      <c r="C514" s="72"/>
      <c r="D514" s="72"/>
      <c r="E514" s="72"/>
      <c r="F514" s="72"/>
    </row>
    <row r="515" spans="1:6">
      <c r="A515" s="72"/>
      <c r="B515" s="72"/>
      <c r="C515" s="72"/>
      <c r="D515" s="72"/>
      <c r="E515" s="72"/>
      <c r="F515" s="72"/>
    </row>
    <row r="516" spans="1:6">
      <c r="A516" s="72"/>
      <c r="B516" s="72"/>
      <c r="C516" s="72"/>
      <c r="D516" s="72"/>
      <c r="E516" s="72"/>
      <c r="F516" s="72"/>
    </row>
    <row r="517" spans="1:6">
      <c r="A517" s="72"/>
      <c r="B517" s="72"/>
      <c r="C517" s="72"/>
      <c r="D517" s="72"/>
      <c r="E517" s="72"/>
      <c r="F517" s="72"/>
    </row>
    <row r="518" spans="1:6">
      <c r="A518" s="72"/>
      <c r="B518" s="72"/>
      <c r="C518" s="72"/>
      <c r="D518" s="72"/>
      <c r="E518" s="72"/>
      <c r="F518" s="72"/>
    </row>
    <row r="519" spans="1:6">
      <c r="A519" s="72"/>
      <c r="B519" s="72"/>
      <c r="C519" s="72"/>
      <c r="D519" s="72"/>
      <c r="E519" s="72"/>
      <c r="F519" s="72"/>
    </row>
    <row r="520" spans="1:6">
      <c r="A520" s="72"/>
      <c r="B520" s="72"/>
      <c r="C520" s="72"/>
      <c r="D520" s="72"/>
      <c r="E520" s="72"/>
      <c r="F520" s="72"/>
    </row>
    <row r="521" spans="1:6">
      <c r="A521" s="72"/>
      <c r="B521" s="72"/>
      <c r="C521" s="72"/>
      <c r="D521" s="72"/>
      <c r="E521" s="72"/>
      <c r="F521" s="72"/>
    </row>
    <row r="522" spans="1:6">
      <c r="A522" s="72"/>
      <c r="B522" s="72"/>
      <c r="C522" s="72"/>
      <c r="D522" s="72"/>
      <c r="E522" s="72"/>
      <c r="F522" s="72"/>
    </row>
    <row r="523" spans="1:6">
      <c r="A523" s="72"/>
      <c r="B523" s="72"/>
      <c r="C523" s="72"/>
      <c r="D523" s="72"/>
      <c r="E523" s="72"/>
      <c r="F523" s="72"/>
    </row>
    <row r="524" spans="1:6">
      <c r="A524" s="72"/>
      <c r="B524" s="72"/>
      <c r="C524" s="72"/>
      <c r="D524" s="72"/>
      <c r="E524" s="72"/>
      <c r="F524" s="72"/>
    </row>
    <row r="525" spans="1:6">
      <c r="A525" s="72"/>
      <c r="B525" s="72"/>
      <c r="C525" s="72"/>
      <c r="D525" s="72"/>
      <c r="E525" s="72"/>
      <c r="F525" s="72"/>
    </row>
    <row r="526" spans="1:6">
      <c r="A526" s="72"/>
      <c r="B526" s="72"/>
      <c r="C526" s="72"/>
      <c r="D526" s="72"/>
      <c r="E526" s="72"/>
      <c r="F526" s="72"/>
    </row>
    <row r="527" spans="1:6">
      <c r="A527" s="72"/>
      <c r="B527" s="72"/>
      <c r="C527" s="72"/>
      <c r="D527" s="72"/>
      <c r="E527" s="72"/>
      <c r="F527" s="72"/>
    </row>
    <row r="528" spans="1:6">
      <c r="A528" s="72"/>
      <c r="B528" s="72"/>
      <c r="C528" s="72"/>
      <c r="D528" s="72"/>
      <c r="E528" s="72"/>
      <c r="F528" s="72"/>
    </row>
    <row r="529" spans="1:6">
      <c r="A529" s="72"/>
      <c r="B529" s="72"/>
      <c r="C529" s="72"/>
      <c r="D529" s="72"/>
      <c r="E529" s="72"/>
      <c r="F529" s="72"/>
    </row>
    <row r="530" spans="1:6">
      <c r="A530" s="72"/>
      <c r="B530" s="72"/>
      <c r="C530" s="72"/>
      <c r="D530" s="72"/>
      <c r="E530" s="72"/>
      <c r="F530" s="72"/>
    </row>
    <row r="531" spans="1:6">
      <c r="A531" s="72"/>
      <c r="B531" s="72"/>
      <c r="C531" s="72"/>
      <c r="D531" s="72"/>
      <c r="E531" s="72"/>
      <c r="F531" s="72"/>
    </row>
    <row r="532" spans="1:6">
      <c r="A532" s="72"/>
      <c r="B532" s="72"/>
      <c r="C532" s="72"/>
      <c r="D532" s="72"/>
      <c r="E532" s="72"/>
      <c r="F532" s="72"/>
    </row>
    <row r="533" spans="1:6">
      <c r="A533" s="72"/>
      <c r="B533" s="72"/>
      <c r="C533" s="72"/>
      <c r="D533" s="72"/>
      <c r="E533" s="72"/>
      <c r="F533" s="72"/>
    </row>
    <row r="534" spans="1:6">
      <c r="A534" s="72"/>
      <c r="B534" s="72"/>
      <c r="C534" s="72"/>
      <c r="D534" s="72"/>
      <c r="E534" s="72"/>
      <c r="F534" s="72"/>
    </row>
    <row r="535" spans="1:6">
      <c r="A535" s="72"/>
      <c r="B535" s="72"/>
      <c r="C535" s="72"/>
      <c r="D535" s="72"/>
      <c r="E535" s="72"/>
      <c r="F535" s="72"/>
    </row>
    <row r="536" spans="1:6">
      <c r="A536" s="72"/>
      <c r="B536" s="72"/>
      <c r="C536" s="72"/>
      <c r="D536" s="72"/>
      <c r="E536" s="72"/>
      <c r="F536" s="72"/>
    </row>
    <row r="537" spans="1:6">
      <c r="A537" s="72"/>
      <c r="B537" s="72"/>
      <c r="C537" s="72"/>
      <c r="D537" s="72"/>
      <c r="E537" s="72"/>
      <c r="F537" s="72"/>
    </row>
    <row r="538" spans="1:6">
      <c r="A538" s="72"/>
      <c r="B538" s="72"/>
      <c r="C538" s="72"/>
      <c r="D538" s="72"/>
      <c r="E538" s="72"/>
      <c r="F538" s="72"/>
    </row>
    <row r="539" spans="1:6">
      <c r="A539" s="72"/>
      <c r="B539" s="72"/>
      <c r="C539" s="72"/>
      <c r="D539" s="72"/>
      <c r="E539" s="72"/>
      <c r="F539" s="72"/>
    </row>
    <row r="540" spans="1:6">
      <c r="A540" s="72"/>
      <c r="B540" s="72"/>
      <c r="C540" s="72"/>
      <c r="D540" s="72"/>
      <c r="E540" s="72"/>
      <c r="F540" s="72"/>
    </row>
    <row r="541" spans="1:6">
      <c r="A541" s="72"/>
      <c r="B541" s="72"/>
      <c r="C541" s="72"/>
      <c r="D541" s="72"/>
      <c r="E541" s="72"/>
      <c r="F541" s="72"/>
    </row>
    <row r="542" spans="1:6">
      <c r="A542" s="72"/>
      <c r="B542" s="72"/>
      <c r="C542" s="72"/>
      <c r="D542" s="72"/>
      <c r="E542" s="72"/>
      <c r="F542" s="72"/>
    </row>
    <row r="543" spans="1:6">
      <c r="A543" s="72"/>
      <c r="B543" s="72"/>
      <c r="C543" s="72"/>
      <c r="D543" s="72"/>
      <c r="E543" s="72"/>
      <c r="F543" s="72"/>
    </row>
    <row r="544" spans="1:6">
      <c r="A544" s="72"/>
      <c r="B544" s="72"/>
      <c r="C544" s="72"/>
      <c r="D544" s="72"/>
      <c r="E544" s="72"/>
      <c r="F544" s="72"/>
    </row>
    <row r="545" spans="1:6">
      <c r="A545" s="72"/>
      <c r="B545" s="72"/>
      <c r="C545" s="72"/>
      <c r="D545" s="72"/>
      <c r="E545" s="72"/>
      <c r="F545" s="72"/>
    </row>
    <row r="546" spans="1:6">
      <c r="A546" s="72"/>
      <c r="B546" s="72"/>
      <c r="C546" s="72"/>
      <c r="D546" s="72"/>
      <c r="E546" s="72"/>
      <c r="F546" s="72"/>
    </row>
    <row r="547" spans="1:6">
      <c r="A547" s="72"/>
      <c r="B547" s="72"/>
      <c r="C547" s="72"/>
      <c r="D547" s="72"/>
      <c r="E547" s="72"/>
      <c r="F547" s="72"/>
    </row>
    <row r="548" spans="1:6">
      <c r="A548" s="72"/>
      <c r="B548" s="72"/>
      <c r="C548" s="72"/>
      <c r="D548" s="72"/>
      <c r="E548" s="72"/>
      <c r="F548" s="72"/>
    </row>
    <row r="549" spans="1:6">
      <c r="A549" s="72"/>
      <c r="B549" s="72"/>
      <c r="C549" s="72"/>
      <c r="D549" s="72"/>
      <c r="E549" s="72"/>
      <c r="F549" s="72"/>
    </row>
    <row r="550" spans="1:6">
      <c r="A550" s="72"/>
      <c r="B550" s="72"/>
      <c r="C550" s="72"/>
      <c r="D550" s="72"/>
      <c r="E550" s="72"/>
      <c r="F550" s="72"/>
    </row>
    <row r="551" spans="1:6">
      <c r="A551" s="72"/>
      <c r="B551" s="72"/>
      <c r="C551" s="72"/>
      <c r="D551" s="72"/>
      <c r="E551" s="72"/>
      <c r="F551" s="72"/>
    </row>
    <row r="552" spans="1:6">
      <c r="A552" s="72"/>
      <c r="B552" s="72"/>
      <c r="C552" s="72"/>
      <c r="D552" s="72"/>
      <c r="E552" s="72"/>
      <c r="F552" s="72"/>
    </row>
    <row r="553" spans="1:6">
      <c r="A553" s="72"/>
      <c r="B553" s="72"/>
      <c r="C553" s="72"/>
      <c r="D553" s="72"/>
      <c r="E553" s="72"/>
      <c r="F553" s="72"/>
    </row>
    <row r="554" spans="1:6">
      <c r="A554" s="72"/>
      <c r="B554" s="72"/>
      <c r="C554" s="72"/>
      <c r="D554" s="72"/>
      <c r="E554" s="72"/>
      <c r="F554" s="72"/>
    </row>
    <row r="555" spans="1:6">
      <c r="A555" s="72"/>
      <c r="B555" s="72"/>
      <c r="C555" s="72"/>
      <c r="D555" s="72"/>
      <c r="E555" s="72"/>
      <c r="F555" s="72"/>
    </row>
    <row r="556" spans="1:6">
      <c r="A556" s="72"/>
      <c r="B556" s="72"/>
      <c r="C556" s="72"/>
      <c r="D556" s="72"/>
      <c r="E556" s="72"/>
      <c r="F556" s="72"/>
    </row>
    <row r="557" spans="1:6">
      <c r="A557" s="72"/>
      <c r="B557" s="72"/>
      <c r="C557" s="72"/>
      <c r="D557" s="72"/>
      <c r="E557" s="72"/>
      <c r="F557" s="72"/>
    </row>
    <row r="558" spans="1:6">
      <c r="A558" s="72"/>
      <c r="B558" s="72"/>
      <c r="C558" s="72"/>
      <c r="D558" s="72"/>
      <c r="E558" s="72"/>
      <c r="F558" s="72"/>
    </row>
    <row r="559" spans="1:6">
      <c r="A559" s="72"/>
      <c r="B559" s="72"/>
      <c r="C559" s="72"/>
      <c r="D559" s="72"/>
      <c r="E559" s="72"/>
      <c r="F559" s="72"/>
    </row>
    <row r="560" spans="1:6">
      <c r="A560" s="72"/>
      <c r="B560" s="72"/>
      <c r="C560" s="72"/>
      <c r="D560" s="72"/>
      <c r="E560" s="72"/>
      <c r="F560" s="72"/>
    </row>
    <row r="561" spans="1:6">
      <c r="A561" s="72"/>
      <c r="B561" s="72"/>
      <c r="C561" s="72"/>
      <c r="D561" s="72"/>
      <c r="E561" s="72"/>
      <c r="F561" s="72"/>
    </row>
    <row r="562" spans="1:6">
      <c r="A562" s="72"/>
      <c r="B562" s="72"/>
      <c r="C562" s="72"/>
      <c r="D562" s="72"/>
      <c r="E562" s="72"/>
      <c r="F562" s="72"/>
    </row>
    <row r="563" spans="1:6">
      <c r="A563" s="72"/>
      <c r="B563" s="72"/>
      <c r="C563" s="72"/>
      <c r="D563" s="72"/>
      <c r="E563" s="72"/>
      <c r="F563" s="72"/>
    </row>
    <row r="564" spans="1:6">
      <c r="A564" s="72"/>
      <c r="B564" s="72"/>
      <c r="C564" s="72"/>
      <c r="D564" s="72"/>
      <c r="E564" s="72"/>
      <c r="F564" s="72"/>
    </row>
    <row r="565" spans="1:6">
      <c r="A565" s="72"/>
      <c r="B565" s="72"/>
      <c r="C565" s="72"/>
      <c r="D565" s="72"/>
      <c r="E565" s="72"/>
      <c r="F565" s="72"/>
    </row>
    <row r="566" spans="1:6">
      <c r="A566" s="72"/>
      <c r="B566" s="72"/>
      <c r="C566" s="72"/>
      <c r="D566" s="72"/>
      <c r="E566" s="72"/>
      <c r="F566" s="72"/>
    </row>
    <row r="567" spans="1:6">
      <c r="A567" s="72"/>
      <c r="B567" s="72"/>
      <c r="C567" s="72"/>
      <c r="D567" s="72"/>
      <c r="E567" s="72"/>
      <c r="F567" s="72"/>
    </row>
    <row r="568" spans="1:6">
      <c r="A568" s="72"/>
      <c r="B568" s="72"/>
      <c r="C568" s="72"/>
      <c r="D568" s="72"/>
      <c r="E568" s="72"/>
      <c r="F568" s="72"/>
    </row>
    <row r="569" spans="1:6">
      <c r="A569" s="72"/>
      <c r="B569" s="72"/>
      <c r="C569" s="72"/>
      <c r="D569" s="72"/>
      <c r="E569" s="72"/>
      <c r="F569" s="72"/>
    </row>
    <row r="570" spans="1:6">
      <c r="A570" s="72"/>
      <c r="B570" s="72"/>
      <c r="C570" s="72"/>
      <c r="D570" s="72"/>
      <c r="E570" s="72"/>
      <c r="F570" s="72"/>
    </row>
    <row r="571" spans="1:6">
      <c r="A571" s="72"/>
      <c r="B571" s="72"/>
      <c r="C571" s="72"/>
      <c r="D571" s="72"/>
      <c r="E571" s="72"/>
      <c r="F571" s="72"/>
    </row>
    <row r="572" spans="1:6">
      <c r="A572" s="72"/>
      <c r="B572" s="72"/>
      <c r="C572" s="72"/>
      <c r="D572" s="72"/>
      <c r="E572" s="72"/>
      <c r="F572" s="72"/>
    </row>
    <row r="573" spans="1:6">
      <c r="A573" s="72"/>
      <c r="B573" s="72"/>
      <c r="C573" s="72"/>
      <c r="D573" s="72"/>
      <c r="E573" s="72"/>
      <c r="F573" s="72"/>
    </row>
    <row r="574" spans="1:6">
      <c r="A574" s="72"/>
      <c r="B574" s="72"/>
      <c r="C574" s="72"/>
      <c r="D574" s="72"/>
      <c r="E574" s="72"/>
      <c r="F574" s="72"/>
    </row>
    <row r="575" spans="1:6">
      <c r="A575" s="72"/>
      <c r="B575" s="72"/>
      <c r="C575" s="72"/>
      <c r="D575" s="72"/>
      <c r="E575" s="72"/>
      <c r="F575" s="72"/>
    </row>
    <row r="576" spans="1:6">
      <c r="A576" s="72"/>
      <c r="B576" s="72"/>
      <c r="C576" s="72"/>
      <c r="D576" s="72"/>
      <c r="E576" s="72"/>
      <c r="F576" s="72"/>
    </row>
    <row r="577" spans="1:6">
      <c r="A577" s="72"/>
      <c r="B577" s="72"/>
      <c r="C577" s="72"/>
      <c r="D577" s="72"/>
      <c r="E577" s="72"/>
      <c r="F577" s="72"/>
    </row>
    <row r="578" spans="1:6">
      <c r="A578" s="72"/>
      <c r="B578" s="72"/>
      <c r="C578" s="72"/>
      <c r="D578" s="72"/>
      <c r="E578" s="72"/>
      <c r="F578" s="72"/>
    </row>
    <row r="579" spans="1:6">
      <c r="A579" s="72"/>
      <c r="B579" s="72"/>
      <c r="C579" s="72"/>
      <c r="D579" s="72"/>
      <c r="E579" s="72"/>
      <c r="F579" s="72"/>
    </row>
    <row r="580" spans="1:6">
      <c r="A580" s="72"/>
      <c r="B580" s="72"/>
      <c r="C580" s="72"/>
      <c r="D580" s="72"/>
      <c r="E580" s="72"/>
      <c r="F580" s="72"/>
    </row>
    <row r="581" spans="1:6">
      <c r="A581" s="72"/>
      <c r="B581" s="72"/>
      <c r="C581" s="72"/>
      <c r="D581" s="72"/>
      <c r="E581" s="72"/>
      <c r="F581" s="72"/>
    </row>
    <row r="582" spans="1:6">
      <c r="A582" s="72"/>
      <c r="B582" s="72"/>
      <c r="C582" s="72"/>
      <c r="D582" s="72"/>
      <c r="E582" s="72"/>
      <c r="F582" s="72"/>
    </row>
    <row r="583" spans="1:6">
      <c r="A583" s="72"/>
      <c r="B583" s="72"/>
      <c r="C583" s="72"/>
      <c r="D583" s="72"/>
      <c r="E583" s="72"/>
      <c r="F583" s="72"/>
    </row>
    <row r="584" spans="1:6">
      <c r="A584" s="72"/>
      <c r="B584" s="72"/>
      <c r="C584" s="72"/>
      <c r="D584" s="72"/>
      <c r="E584" s="72"/>
      <c r="F584" s="72"/>
    </row>
    <row r="585" spans="1:6">
      <c r="A585" s="72"/>
      <c r="B585" s="72"/>
      <c r="C585" s="72"/>
      <c r="D585" s="72"/>
      <c r="E585" s="72"/>
      <c r="F585" s="72"/>
    </row>
    <row r="586" spans="1:6">
      <c r="A586" s="72"/>
      <c r="B586" s="72"/>
      <c r="C586" s="72"/>
      <c r="D586" s="72"/>
      <c r="E586" s="72"/>
      <c r="F586" s="72"/>
    </row>
    <row r="587" spans="1:6">
      <c r="A587" s="72"/>
      <c r="B587" s="72"/>
      <c r="C587" s="72"/>
      <c r="D587" s="72"/>
      <c r="E587" s="72"/>
      <c r="F587" s="72"/>
    </row>
    <row r="588" spans="1:6">
      <c r="A588" s="72"/>
      <c r="B588" s="72"/>
      <c r="C588" s="72"/>
      <c r="D588" s="72"/>
      <c r="E588" s="72"/>
      <c r="F588" s="72"/>
    </row>
    <row r="589" spans="1:6">
      <c r="A589" s="72"/>
      <c r="B589" s="72"/>
      <c r="C589" s="72"/>
      <c r="D589" s="72"/>
      <c r="E589" s="72"/>
      <c r="F589" s="72"/>
    </row>
    <row r="590" spans="1:6">
      <c r="A590" s="72"/>
      <c r="B590" s="72"/>
      <c r="C590" s="72"/>
      <c r="D590" s="72"/>
      <c r="E590" s="72"/>
      <c r="F590" s="72"/>
    </row>
    <row r="591" spans="1:6">
      <c r="A591" s="72"/>
      <c r="B591" s="72"/>
      <c r="C591" s="72"/>
      <c r="D591" s="72"/>
      <c r="E591" s="72"/>
      <c r="F591" s="72"/>
    </row>
    <row r="592" spans="1:6">
      <c r="A592" s="72"/>
      <c r="B592" s="72"/>
      <c r="C592" s="72"/>
      <c r="D592" s="72"/>
      <c r="E592" s="72"/>
      <c r="F592" s="72"/>
    </row>
    <row r="593" spans="1:6">
      <c r="A593" s="72"/>
      <c r="B593" s="72"/>
      <c r="C593" s="72"/>
      <c r="D593" s="72"/>
      <c r="E593" s="72"/>
      <c r="F593" s="72"/>
    </row>
    <row r="594" spans="1:6">
      <c r="A594" s="72"/>
      <c r="B594" s="72"/>
      <c r="C594" s="72"/>
      <c r="D594" s="72"/>
      <c r="E594" s="72"/>
      <c r="F594" s="72"/>
    </row>
    <row r="595" spans="1:6">
      <c r="A595" s="72"/>
      <c r="B595" s="72"/>
      <c r="C595" s="72"/>
      <c r="D595" s="72"/>
      <c r="E595" s="72"/>
      <c r="F595" s="72"/>
    </row>
    <row r="596" spans="1:6">
      <c r="A596" s="72"/>
      <c r="B596" s="72"/>
      <c r="C596" s="72"/>
      <c r="D596" s="72"/>
      <c r="E596" s="72"/>
      <c r="F596" s="72"/>
    </row>
    <row r="597" spans="1:6">
      <c r="A597" s="72"/>
      <c r="B597" s="72"/>
      <c r="C597" s="72"/>
      <c r="D597" s="72"/>
      <c r="E597" s="72"/>
      <c r="F597" s="72"/>
    </row>
    <row r="598" spans="1:6">
      <c r="A598" s="72"/>
      <c r="B598" s="72"/>
      <c r="C598" s="72"/>
      <c r="D598" s="72"/>
      <c r="E598" s="72"/>
      <c r="F598" s="72"/>
    </row>
    <row r="599" spans="1:6">
      <c r="A599" s="72"/>
      <c r="B599" s="72"/>
      <c r="C599" s="72"/>
      <c r="D599" s="72"/>
      <c r="E599" s="72"/>
      <c r="F599" s="72"/>
    </row>
    <row r="600" spans="1:6">
      <c r="A600" s="72"/>
      <c r="B600" s="72"/>
      <c r="C600" s="72"/>
      <c r="D600" s="72"/>
      <c r="E600" s="72"/>
      <c r="F600" s="72"/>
    </row>
    <row r="601" spans="1:6">
      <c r="A601" s="72"/>
      <c r="B601" s="72"/>
      <c r="C601" s="72"/>
      <c r="D601" s="72"/>
      <c r="E601" s="72"/>
      <c r="F601" s="72"/>
    </row>
    <row r="602" spans="1:6">
      <c r="A602" s="72"/>
      <c r="B602" s="72"/>
      <c r="C602" s="72"/>
      <c r="D602" s="72"/>
      <c r="E602" s="72"/>
      <c r="F602" s="72"/>
    </row>
    <row r="603" spans="1:6">
      <c r="A603" s="72"/>
      <c r="B603" s="72"/>
      <c r="C603" s="72"/>
      <c r="D603" s="72"/>
      <c r="E603" s="72"/>
      <c r="F603" s="72"/>
    </row>
    <row r="604" spans="1:6">
      <c r="A604" s="72"/>
      <c r="B604" s="72"/>
      <c r="C604" s="72"/>
      <c r="D604" s="72"/>
      <c r="E604" s="72"/>
      <c r="F604" s="72"/>
    </row>
    <row r="605" spans="1:6">
      <c r="A605" s="72"/>
      <c r="B605" s="72"/>
      <c r="C605" s="72"/>
      <c r="D605" s="72"/>
      <c r="E605" s="72"/>
      <c r="F605" s="72"/>
    </row>
    <row r="606" spans="1:6">
      <c r="A606" s="72"/>
      <c r="B606" s="72"/>
      <c r="C606" s="72"/>
      <c r="D606" s="72"/>
      <c r="E606" s="72"/>
      <c r="F606" s="72"/>
    </row>
    <row r="607" spans="1:6">
      <c r="A607" s="72"/>
      <c r="B607" s="72"/>
      <c r="C607" s="72"/>
      <c r="D607" s="72"/>
      <c r="E607" s="72"/>
      <c r="F607" s="72"/>
    </row>
    <row r="608" spans="1:6">
      <c r="A608" s="72"/>
      <c r="B608" s="72"/>
      <c r="C608" s="72"/>
      <c r="D608" s="72"/>
      <c r="E608" s="72"/>
      <c r="F608" s="72"/>
    </row>
    <row r="609" spans="1:6">
      <c r="A609" s="72"/>
      <c r="B609" s="72"/>
      <c r="C609" s="72"/>
      <c r="D609" s="72"/>
      <c r="E609" s="72"/>
      <c r="F609" s="72"/>
    </row>
    <row r="610" spans="1:6">
      <c r="A610" s="72"/>
      <c r="B610" s="72"/>
      <c r="C610" s="72"/>
      <c r="D610" s="72"/>
      <c r="E610" s="72"/>
      <c r="F610" s="72"/>
    </row>
    <row r="611" spans="1:6">
      <c r="A611" s="72"/>
      <c r="B611" s="72"/>
      <c r="C611" s="72"/>
      <c r="D611" s="72"/>
      <c r="E611" s="72"/>
      <c r="F611" s="72"/>
    </row>
    <row r="612" spans="1:6">
      <c r="A612" s="72"/>
      <c r="B612" s="72"/>
      <c r="C612" s="72"/>
      <c r="D612" s="72"/>
      <c r="E612" s="72"/>
      <c r="F612" s="72"/>
    </row>
    <row r="613" spans="1:6">
      <c r="A613" s="72"/>
      <c r="B613" s="72"/>
      <c r="C613" s="72"/>
      <c r="D613" s="72"/>
      <c r="E613" s="72"/>
      <c r="F613" s="72"/>
    </row>
    <row r="614" spans="1:6">
      <c r="A614" s="72"/>
      <c r="B614" s="72"/>
      <c r="C614" s="72"/>
      <c r="D614" s="72"/>
      <c r="E614" s="72"/>
      <c r="F614" s="72"/>
    </row>
    <row r="615" spans="1:6">
      <c r="A615" s="72"/>
      <c r="B615" s="72"/>
      <c r="C615" s="72"/>
      <c r="D615" s="72"/>
      <c r="E615" s="72"/>
      <c r="F615" s="72"/>
    </row>
    <row r="616" spans="1:6">
      <c r="A616" s="72"/>
      <c r="B616" s="72"/>
      <c r="C616" s="72"/>
      <c r="D616" s="72"/>
      <c r="E616" s="72"/>
      <c r="F616" s="72"/>
    </row>
    <row r="617" spans="1:6">
      <c r="A617" s="72"/>
      <c r="B617" s="72"/>
      <c r="C617" s="72"/>
      <c r="D617" s="72"/>
      <c r="E617" s="72"/>
      <c r="F617" s="72"/>
    </row>
    <row r="618" spans="1:6">
      <c r="A618" s="72"/>
      <c r="B618" s="72"/>
      <c r="C618" s="72"/>
      <c r="D618" s="72"/>
      <c r="E618" s="72"/>
      <c r="F618" s="72"/>
    </row>
    <row r="619" spans="1:6">
      <c r="A619" s="72"/>
      <c r="B619" s="72"/>
      <c r="C619" s="72"/>
      <c r="D619" s="72"/>
      <c r="E619" s="72"/>
      <c r="F619" s="72"/>
    </row>
    <row r="620" spans="1:6">
      <c r="A620" s="72"/>
      <c r="B620" s="72"/>
      <c r="C620" s="72"/>
      <c r="D620" s="72"/>
      <c r="E620" s="72"/>
      <c r="F620" s="72"/>
    </row>
    <row r="621" spans="1:6">
      <c r="A621" s="72"/>
      <c r="B621" s="72"/>
      <c r="C621" s="72"/>
      <c r="D621" s="72"/>
      <c r="E621" s="72"/>
      <c r="F621" s="72"/>
    </row>
    <row r="622" spans="1:6">
      <c r="A622" s="72"/>
      <c r="B622" s="72"/>
      <c r="C622" s="72"/>
      <c r="D622" s="72"/>
      <c r="E622" s="72"/>
      <c r="F622" s="72"/>
    </row>
    <row r="623" spans="1:6">
      <c r="A623" s="72"/>
      <c r="B623" s="72"/>
      <c r="C623" s="72"/>
      <c r="D623" s="72"/>
      <c r="E623" s="72"/>
      <c r="F623" s="72"/>
    </row>
    <row r="624" spans="1:6">
      <c r="A624" s="72"/>
      <c r="B624" s="72"/>
      <c r="C624" s="72"/>
      <c r="D624" s="72"/>
      <c r="E624" s="72"/>
      <c r="F624" s="72"/>
    </row>
    <row r="625" spans="1:6">
      <c r="A625" s="72"/>
      <c r="B625" s="72"/>
      <c r="C625" s="72"/>
      <c r="D625" s="72"/>
      <c r="E625" s="72"/>
      <c r="F625" s="72"/>
    </row>
    <row r="626" spans="1:6">
      <c r="A626" s="72"/>
      <c r="B626" s="72"/>
      <c r="C626" s="72"/>
      <c r="D626" s="72"/>
      <c r="E626" s="72"/>
      <c r="F626" s="72"/>
    </row>
    <row r="627" spans="1:6">
      <c r="A627" s="72"/>
      <c r="B627" s="72"/>
      <c r="C627" s="72"/>
      <c r="D627" s="72"/>
      <c r="E627" s="72"/>
      <c r="F627" s="72"/>
    </row>
    <row r="628" spans="1:6">
      <c r="A628" s="72"/>
      <c r="B628" s="72"/>
      <c r="C628" s="72"/>
      <c r="D628" s="72"/>
      <c r="E628" s="72"/>
      <c r="F628" s="72"/>
    </row>
    <row r="629" spans="1:6">
      <c r="A629" s="72"/>
      <c r="B629" s="72"/>
      <c r="C629" s="72"/>
      <c r="D629" s="72"/>
      <c r="E629" s="72"/>
      <c r="F629" s="72"/>
    </row>
    <row r="630" spans="1:6">
      <c r="A630" s="72"/>
      <c r="B630" s="72"/>
      <c r="C630" s="72"/>
      <c r="D630" s="72"/>
      <c r="E630" s="72"/>
      <c r="F630" s="72"/>
    </row>
    <row r="631" spans="1:6">
      <c r="A631" s="72"/>
      <c r="B631" s="72"/>
      <c r="C631" s="72"/>
      <c r="D631" s="72"/>
      <c r="E631" s="72"/>
      <c r="F631" s="72"/>
    </row>
    <row r="632" spans="1:6">
      <c r="A632" s="72"/>
      <c r="B632" s="72"/>
      <c r="C632" s="72"/>
      <c r="D632" s="72"/>
      <c r="E632" s="72"/>
      <c r="F632" s="72"/>
    </row>
    <row r="633" spans="1:6">
      <c r="A633" s="72"/>
      <c r="B633" s="72"/>
      <c r="C633" s="72"/>
      <c r="D633" s="72"/>
      <c r="E633" s="72"/>
      <c r="F633" s="72"/>
    </row>
    <row r="634" spans="1:6">
      <c r="A634" s="72"/>
      <c r="B634" s="72"/>
      <c r="C634" s="72"/>
      <c r="D634" s="72"/>
      <c r="E634" s="72"/>
      <c r="F634" s="72"/>
    </row>
    <row r="635" spans="1:6">
      <c r="A635" s="72"/>
      <c r="B635" s="72"/>
      <c r="C635" s="72"/>
      <c r="D635" s="72"/>
      <c r="E635" s="72"/>
      <c r="F635" s="72"/>
    </row>
    <row r="636" spans="1:6">
      <c r="A636" s="72"/>
      <c r="B636" s="72"/>
      <c r="C636" s="72"/>
      <c r="D636" s="72"/>
      <c r="E636" s="72"/>
      <c r="F636" s="72"/>
    </row>
    <row r="637" spans="1:6">
      <c r="A637" s="72"/>
      <c r="B637" s="72"/>
      <c r="C637" s="72"/>
      <c r="D637" s="72"/>
      <c r="E637" s="72"/>
      <c r="F637" s="72"/>
    </row>
    <row r="638" spans="1:6">
      <c r="A638" s="72"/>
      <c r="B638" s="72"/>
      <c r="C638" s="72"/>
      <c r="D638" s="72"/>
      <c r="E638" s="72"/>
      <c r="F638" s="72"/>
    </row>
    <row r="639" spans="1:6">
      <c r="A639" s="72"/>
      <c r="B639" s="72"/>
      <c r="C639" s="72"/>
      <c r="D639" s="72"/>
      <c r="E639" s="72"/>
      <c r="F639" s="72"/>
    </row>
    <row r="640" spans="1:6">
      <c r="A640" s="72"/>
      <c r="B640" s="72"/>
      <c r="C640" s="72"/>
      <c r="D640" s="72"/>
      <c r="E640" s="72"/>
      <c r="F640" s="72"/>
    </row>
    <row r="641" spans="1:6">
      <c r="A641" s="72"/>
      <c r="B641" s="72"/>
      <c r="C641" s="72"/>
      <c r="D641" s="72"/>
      <c r="E641" s="72"/>
      <c r="F641" s="72"/>
    </row>
    <row r="642" spans="1:6">
      <c r="A642" s="72"/>
      <c r="B642" s="72"/>
      <c r="C642" s="72"/>
      <c r="D642" s="72"/>
      <c r="E642" s="72"/>
      <c r="F642" s="72"/>
    </row>
    <row r="643" spans="1:6">
      <c r="A643" s="72"/>
      <c r="B643" s="72"/>
      <c r="C643" s="72"/>
      <c r="D643" s="72"/>
      <c r="E643" s="72"/>
      <c r="F643" s="72"/>
    </row>
    <row r="644" spans="1:6">
      <c r="A644" s="72"/>
      <c r="B644" s="72"/>
      <c r="C644" s="72"/>
      <c r="D644" s="72"/>
      <c r="E644" s="72"/>
      <c r="F644" s="72"/>
    </row>
    <row r="645" spans="1:6">
      <c r="A645" s="72"/>
      <c r="B645" s="72"/>
      <c r="C645" s="72"/>
      <c r="D645" s="72"/>
      <c r="E645" s="72"/>
      <c r="F645" s="72"/>
    </row>
    <row r="646" spans="1:6">
      <c r="A646" s="72"/>
      <c r="B646" s="72"/>
      <c r="C646" s="72"/>
      <c r="D646" s="72"/>
      <c r="E646" s="72"/>
      <c r="F646" s="72"/>
    </row>
    <row r="647" spans="1:6">
      <c r="A647" s="72"/>
      <c r="B647" s="72"/>
      <c r="C647" s="72"/>
      <c r="D647" s="72"/>
      <c r="E647" s="72"/>
      <c r="F647" s="72"/>
    </row>
    <row r="648" spans="1:6">
      <c r="A648" s="72"/>
      <c r="B648" s="72"/>
      <c r="C648" s="72"/>
      <c r="D648" s="72"/>
      <c r="E648" s="72"/>
      <c r="F648" s="72"/>
    </row>
    <row r="649" spans="1:6">
      <c r="A649" s="72"/>
      <c r="B649" s="72"/>
      <c r="C649" s="72"/>
      <c r="D649" s="72"/>
      <c r="E649" s="72"/>
      <c r="F649" s="72"/>
    </row>
    <row r="650" spans="1:6">
      <c r="A650" s="72"/>
      <c r="B650" s="72"/>
      <c r="C650" s="72"/>
      <c r="D650" s="72"/>
      <c r="E650" s="72"/>
      <c r="F650" s="72"/>
    </row>
    <row r="651" spans="1:6">
      <c r="A651" s="72"/>
      <c r="B651" s="72"/>
      <c r="C651" s="72"/>
      <c r="D651" s="72"/>
      <c r="E651" s="72"/>
      <c r="F651" s="72"/>
    </row>
    <row r="652" spans="1:6">
      <c r="A652" s="72"/>
      <c r="B652" s="72"/>
      <c r="C652" s="72"/>
      <c r="D652" s="72"/>
      <c r="E652" s="72"/>
      <c r="F652" s="72"/>
    </row>
    <row r="653" spans="1:6">
      <c r="A653" s="72"/>
      <c r="B653" s="72"/>
      <c r="C653" s="72"/>
      <c r="D653" s="72"/>
      <c r="E653" s="72"/>
      <c r="F653" s="72"/>
    </row>
    <row r="654" spans="1:6">
      <c r="A654" s="72"/>
      <c r="B654" s="72"/>
      <c r="C654" s="72"/>
      <c r="D654" s="72"/>
      <c r="E654" s="72"/>
      <c r="F654" s="72"/>
    </row>
    <row r="655" spans="1:6">
      <c r="A655" s="72"/>
      <c r="B655" s="72"/>
      <c r="C655" s="72"/>
      <c r="D655" s="72"/>
      <c r="E655" s="72"/>
      <c r="F655" s="72"/>
    </row>
    <row r="656" spans="1:6">
      <c r="A656" s="72"/>
      <c r="B656" s="72"/>
      <c r="C656" s="72"/>
      <c r="D656" s="72"/>
      <c r="E656" s="72"/>
      <c r="F656" s="72"/>
    </row>
    <row r="657" spans="1:6">
      <c r="A657" s="72"/>
      <c r="B657" s="72"/>
      <c r="C657" s="72"/>
      <c r="D657" s="72"/>
      <c r="E657" s="72"/>
      <c r="F657" s="72"/>
    </row>
    <row r="658" spans="1:6">
      <c r="A658" s="72"/>
      <c r="B658" s="72"/>
      <c r="C658" s="72"/>
      <c r="D658" s="72"/>
      <c r="E658" s="72"/>
      <c r="F658" s="72"/>
    </row>
    <row r="659" spans="1:6">
      <c r="A659" s="72"/>
      <c r="B659" s="72"/>
      <c r="C659" s="72"/>
      <c r="D659" s="72"/>
      <c r="E659" s="72"/>
      <c r="F659" s="72"/>
    </row>
    <row r="660" spans="1:6">
      <c r="A660" s="72"/>
      <c r="B660" s="72"/>
      <c r="C660" s="72"/>
      <c r="D660" s="72"/>
      <c r="E660" s="72"/>
      <c r="F660" s="72"/>
    </row>
    <row r="661" spans="1:6">
      <c r="A661" s="72"/>
      <c r="B661" s="72"/>
      <c r="C661" s="72"/>
      <c r="D661" s="72"/>
      <c r="E661" s="72"/>
      <c r="F661" s="72"/>
    </row>
    <row r="662" spans="1:6">
      <c r="A662" s="72"/>
      <c r="B662" s="72"/>
      <c r="C662" s="72"/>
      <c r="D662" s="72"/>
      <c r="E662" s="72"/>
      <c r="F662" s="72"/>
    </row>
    <row r="663" spans="1:6">
      <c r="A663" s="72"/>
      <c r="B663" s="72"/>
      <c r="C663" s="72"/>
      <c r="D663" s="72"/>
      <c r="E663" s="72"/>
      <c r="F663" s="72"/>
    </row>
    <row r="664" spans="1:6">
      <c r="A664" s="72"/>
      <c r="B664" s="72"/>
      <c r="C664" s="72"/>
      <c r="D664" s="72"/>
      <c r="E664" s="72"/>
      <c r="F664" s="72"/>
    </row>
    <row r="665" spans="1:6">
      <c r="A665" s="72"/>
      <c r="B665" s="72"/>
      <c r="C665" s="72"/>
      <c r="D665" s="72"/>
      <c r="E665" s="72"/>
      <c r="F665" s="72"/>
    </row>
    <row r="666" spans="1:6">
      <c r="A666" s="72"/>
      <c r="B666" s="72"/>
      <c r="C666" s="72"/>
      <c r="D666" s="72"/>
      <c r="E666" s="72"/>
      <c r="F666" s="72"/>
    </row>
    <row r="667" spans="1:6">
      <c r="A667" s="72"/>
      <c r="B667" s="72"/>
      <c r="C667" s="72"/>
      <c r="D667" s="72"/>
      <c r="E667" s="72"/>
      <c r="F667" s="72"/>
    </row>
    <row r="668" spans="1:6">
      <c r="A668" s="72"/>
      <c r="B668" s="72"/>
      <c r="C668" s="72"/>
      <c r="D668" s="72"/>
      <c r="E668" s="72"/>
      <c r="F668" s="72"/>
    </row>
    <row r="669" spans="1:6">
      <c r="A669" s="72"/>
      <c r="B669" s="72"/>
      <c r="C669" s="72"/>
      <c r="D669" s="72"/>
      <c r="E669" s="72"/>
      <c r="F669" s="72"/>
    </row>
    <row r="670" spans="1:6">
      <c r="A670" s="72"/>
      <c r="B670" s="72"/>
      <c r="C670" s="72"/>
      <c r="D670" s="72"/>
      <c r="E670" s="72"/>
      <c r="F670" s="72"/>
    </row>
    <row r="671" spans="1:6">
      <c r="A671" s="72"/>
      <c r="B671" s="72"/>
      <c r="C671" s="72"/>
      <c r="D671" s="72"/>
      <c r="E671" s="72"/>
      <c r="F671" s="72"/>
    </row>
    <row r="672" spans="1:6">
      <c r="A672" s="72"/>
      <c r="B672" s="72"/>
      <c r="C672" s="72"/>
      <c r="D672" s="72"/>
      <c r="E672" s="72"/>
      <c r="F672" s="72"/>
    </row>
    <row r="673" spans="1:6">
      <c r="A673" s="72"/>
      <c r="B673" s="72"/>
      <c r="C673" s="72"/>
      <c r="D673" s="72"/>
      <c r="E673" s="72"/>
      <c r="F673" s="72"/>
    </row>
    <row r="674" spans="1:6">
      <c r="A674" s="72"/>
      <c r="B674" s="72"/>
      <c r="C674" s="72"/>
      <c r="D674" s="72"/>
      <c r="E674" s="72"/>
      <c r="F674" s="72"/>
    </row>
    <row r="675" spans="1:6">
      <c r="A675" s="72"/>
      <c r="B675" s="72"/>
      <c r="C675" s="72"/>
      <c r="D675" s="72"/>
      <c r="E675" s="72"/>
      <c r="F675" s="72"/>
    </row>
    <row r="676" spans="1:6">
      <c r="A676" s="72"/>
      <c r="B676" s="72"/>
      <c r="C676" s="72"/>
      <c r="D676" s="72"/>
      <c r="E676" s="72"/>
      <c r="F676" s="72"/>
    </row>
    <row r="677" spans="1:6">
      <c r="A677" s="72"/>
      <c r="B677" s="72"/>
      <c r="C677" s="72"/>
      <c r="D677" s="72"/>
      <c r="E677" s="72"/>
      <c r="F677" s="72"/>
    </row>
    <row r="678" spans="1:6">
      <c r="A678" s="72"/>
      <c r="B678" s="72"/>
      <c r="C678" s="72"/>
      <c r="D678" s="72"/>
      <c r="E678" s="72"/>
      <c r="F678" s="72"/>
    </row>
    <row r="679" spans="1:6">
      <c r="A679" s="72"/>
      <c r="B679" s="72"/>
      <c r="C679" s="72"/>
      <c r="D679" s="72"/>
      <c r="E679" s="72"/>
      <c r="F679" s="72"/>
    </row>
    <row r="680" spans="1:6">
      <c r="A680" s="72"/>
      <c r="B680" s="72"/>
      <c r="C680" s="72"/>
      <c r="D680" s="72"/>
      <c r="E680" s="72"/>
      <c r="F680" s="72"/>
    </row>
    <row r="681" spans="1:6">
      <c r="A681" s="72"/>
      <c r="B681" s="72"/>
      <c r="C681" s="72"/>
      <c r="D681" s="72"/>
      <c r="E681" s="72"/>
      <c r="F681" s="72"/>
    </row>
    <row r="682" spans="1:6">
      <c r="A682" s="72"/>
      <c r="B682" s="72"/>
      <c r="C682" s="72"/>
      <c r="D682" s="72"/>
      <c r="E682" s="72"/>
      <c r="F682" s="72"/>
    </row>
    <row r="683" spans="1:6">
      <c r="A683" s="72"/>
      <c r="B683" s="72"/>
      <c r="C683" s="72"/>
      <c r="D683" s="72"/>
      <c r="E683" s="72"/>
      <c r="F683" s="72"/>
    </row>
    <row r="684" spans="1:6">
      <c r="A684" s="72"/>
      <c r="B684" s="72"/>
      <c r="C684" s="72"/>
      <c r="D684" s="72"/>
      <c r="E684" s="72"/>
      <c r="F684" s="72"/>
    </row>
    <row r="685" spans="1:6">
      <c r="A685" s="72"/>
      <c r="B685" s="72"/>
      <c r="C685" s="72"/>
      <c r="D685" s="72"/>
      <c r="E685" s="72"/>
      <c r="F685" s="72"/>
    </row>
    <row r="686" spans="1:6">
      <c r="A686" s="72"/>
      <c r="B686" s="72"/>
      <c r="C686" s="72"/>
      <c r="D686" s="72"/>
      <c r="E686" s="72"/>
      <c r="F686" s="72"/>
    </row>
    <row r="687" spans="1:6">
      <c r="A687" s="72"/>
      <c r="B687" s="72"/>
      <c r="C687" s="72"/>
      <c r="D687" s="72"/>
      <c r="E687" s="72"/>
      <c r="F687" s="72"/>
    </row>
    <row r="688" spans="1:6">
      <c r="A688" s="72"/>
      <c r="B688" s="72"/>
      <c r="C688" s="72"/>
      <c r="D688" s="72"/>
      <c r="E688" s="72"/>
      <c r="F688" s="72"/>
    </row>
    <row r="689" spans="1:6">
      <c r="A689" s="72"/>
      <c r="B689" s="72"/>
      <c r="C689" s="72"/>
      <c r="D689" s="72"/>
      <c r="E689" s="72"/>
      <c r="F689" s="72"/>
    </row>
    <row r="690" spans="1:6">
      <c r="A690" s="72"/>
      <c r="B690" s="72"/>
      <c r="C690" s="72"/>
      <c r="D690" s="72"/>
      <c r="E690" s="72"/>
      <c r="F690" s="72"/>
    </row>
    <row r="691" spans="1:6">
      <c r="A691" s="72"/>
      <c r="B691" s="72"/>
      <c r="C691" s="72"/>
      <c r="D691" s="72"/>
      <c r="E691" s="72"/>
      <c r="F691" s="72"/>
    </row>
    <row r="692" spans="1:6">
      <c r="A692" s="72"/>
      <c r="B692" s="72"/>
      <c r="C692" s="72"/>
      <c r="D692" s="72"/>
      <c r="E692" s="72"/>
      <c r="F692" s="72"/>
    </row>
    <row r="693" spans="1:6">
      <c r="A693" s="72"/>
      <c r="B693" s="72"/>
      <c r="C693" s="72"/>
      <c r="D693" s="72"/>
      <c r="E693" s="72"/>
      <c r="F693" s="72"/>
    </row>
    <row r="694" spans="1:6">
      <c r="A694" s="72"/>
      <c r="B694" s="72"/>
      <c r="C694" s="72"/>
      <c r="D694" s="72"/>
      <c r="E694" s="72"/>
      <c r="F694" s="72"/>
    </row>
    <row r="695" spans="1:6">
      <c r="A695" s="72"/>
      <c r="B695" s="72"/>
      <c r="C695" s="72"/>
      <c r="D695" s="72"/>
      <c r="E695" s="72"/>
      <c r="F695" s="72"/>
    </row>
    <row r="696" spans="1:6">
      <c r="A696" s="72"/>
      <c r="B696" s="72"/>
      <c r="C696" s="72"/>
      <c r="D696" s="72"/>
      <c r="E696" s="72"/>
      <c r="F696" s="72"/>
    </row>
    <row r="697" spans="1:6">
      <c r="A697" s="72"/>
      <c r="B697" s="72"/>
      <c r="C697" s="72"/>
      <c r="D697" s="72"/>
      <c r="E697" s="72"/>
      <c r="F697" s="72"/>
    </row>
    <row r="698" spans="1:6">
      <c r="A698" s="72"/>
      <c r="B698" s="72"/>
      <c r="C698" s="72"/>
      <c r="D698" s="72"/>
      <c r="E698" s="72"/>
      <c r="F698" s="72"/>
    </row>
    <row r="699" spans="1:6">
      <c r="A699" s="72"/>
      <c r="B699" s="72"/>
      <c r="C699" s="72"/>
      <c r="D699" s="72"/>
      <c r="E699" s="72"/>
      <c r="F699" s="72"/>
    </row>
    <row r="700" spans="1:6">
      <c r="A700" s="72"/>
      <c r="B700" s="72"/>
      <c r="C700" s="72"/>
      <c r="D700" s="72"/>
      <c r="E700" s="72"/>
      <c r="F700" s="72"/>
    </row>
    <row r="701" spans="1:6">
      <c r="A701" s="72"/>
      <c r="B701" s="72"/>
      <c r="C701" s="72"/>
      <c r="D701" s="72"/>
      <c r="E701" s="72"/>
      <c r="F701" s="72"/>
    </row>
    <row r="702" spans="1:6">
      <c r="A702" s="72"/>
      <c r="B702" s="72"/>
      <c r="C702" s="72"/>
      <c r="D702" s="72"/>
      <c r="E702" s="72"/>
      <c r="F702" s="72"/>
    </row>
    <row r="703" spans="1:6">
      <c r="A703" s="72"/>
      <c r="B703" s="72"/>
      <c r="C703" s="72"/>
      <c r="D703" s="72"/>
      <c r="E703" s="72"/>
      <c r="F703" s="72"/>
    </row>
    <row r="704" spans="1:6">
      <c r="A704" s="72"/>
      <c r="B704" s="72"/>
      <c r="C704" s="72"/>
      <c r="D704" s="72"/>
      <c r="E704" s="72"/>
      <c r="F704" s="72"/>
    </row>
    <row r="705" spans="1:6">
      <c r="A705" s="72"/>
      <c r="B705" s="72"/>
      <c r="C705" s="72"/>
      <c r="D705" s="72"/>
      <c r="E705" s="72"/>
      <c r="F705" s="72"/>
    </row>
    <row r="706" spans="1:6">
      <c r="A706" s="72"/>
      <c r="B706" s="72"/>
      <c r="C706" s="72"/>
      <c r="D706" s="72"/>
      <c r="E706" s="72"/>
      <c r="F706" s="72"/>
    </row>
    <row r="707" spans="1:6">
      <c r="A707" s="72"/>
      <c r="B707" s="72"/>
      <c r="C707" s="72"/>
      <c r="D707" s="72"/>
      <c r="E707" s="72"/>
      <c r="F707" s="72"/>
    </row>
    <row r="708" spans="1:6">
      <c r="A708" s="72"/>
      <c r="B708" s="72"/>
      <c r="C708" s="72"/>
      <c r="D708" s="72"/>
      <c r="E708" s="72"/>
      <c r="F708" s="72"/>
    </row>
    <row r="709" spans="1:6">
      <c r="A709" s="72"/>
      <c r="B709" s="72"/>
      <c r="C709" s="72"/>
      <c r="D709" s="72"/>
      <c r="E709" s="72"/>
      <c r="F709" s="72"/>
    </row>
    <row r="710" spans="1:6">
      <c r="A710" s="72"/>
      <c r="B710" s="72"/>
      <c r="C710" s="72"/>
      <c r="D710" s="72"/>
      <c r="E710" s="72"/>
      <c r="F710" s="72"/>
    </row>
    <row r="711" spans="1:6">
      <c r="A711" s="72"/>
      <c r="B711" s="72"/>
      <c r="C711" s="72"/>
      <c r="D711" s="72"/>
      <c r="E711" s="72"/>
      <c r="F711" s="72"/>
    </row>
    <row r="712" spans="1:6">
      <c r="A712" s="72"/>
      <c r="B712" s="72"/>
      <c r="C712" s="72"/>
      <c r="D712" s="72"/>
      <c r="E712" s="72"/>
      <c r="F712" s="72"/>
    </row>
    <row r="713" spans="1:6">
      <c r="A713" s="72"/>
      <c r="B713" s="72"/>
      <c r="C713" s="72"/>
      <c r="D713" s="72"/>
      <c r="E713" s="72"/>
      <c r="F713" s="72"/>
    </row>
    <row r="714" spans="1:6">
      <c r="A714" s="72"/>
      <c r="B714" s="72"/>
      <c r="C714" s="72"/>
      <c r="D714" s="72"/>
      <c r="E714" s="72"/>
      <c r="F714" s="72"/>
    </row>
    <row r="715" spans="1:6">
      <c r="A715" s="72"/>
      <c r="B715" s="72"/>
      <c r="C715" s="72"/>
      <c r="D715" s="72"/>
      <c r="E715" s="72"/>
      <c r="F715" s="72"/>
    </row>
    <row r="716" spans="1:6">
      <c r="A716" s="72"/>
      <c r="B716" s="72"/>
      <c r="C716" s="72"/>
      <c r="D716" s="72"/>
      <c r="E716" s="72"/>
      <c r="F716" s="72"/>
    </row>
    <row r="717" spans="1:6">
      <c r="A717" s="72"/>
      <c r="B717" s="72"/>
      <c r="C717" s="72"/>
      <c r="D717" s="72"/>
      <c r="E717" s="72"/>
      <c r="F717" s="72"/>
    </row>
    <row r="718" spans="1:6">
      <c r="A718" s="72"/>
      <c r="B718" s="72"/>
      <c r="C718" s="72"/>
      <c r="D718" s="72"/>
      <c r="E718" s="72"/>
      <c r="F718" s="72"/>
    </row>
    <row r="719" spans="1:6">
      <c r="A719" s="72"/>
      <c r="B719" s="72"/>
      <c r="C719" s="72"/>
      <c r="D719" s="72"/>
      <c r="E719" s="72"/>
      <c r="F719" s="72"/>
    </row>
    <row r="720" spans="1:6">
      <c r="A720" s="72"/>
      <c r="B720" s="72"/>
      <c r="C720" s="72"/>
      <c r="D720" s="72"/>
      <c r="E720" s="72"/>
      <c r="F720" s="72"/>
    </row>
    <row r="721" spans="1:6">
      <c r="A721" s="72"/>
      <c r="B721" s="72"/>
      <c r="C721" s="72"/>
      <c r="D721" s="72"/>
      <c r="E721" s="72"/>
      <c r="F721" s="72"/>
    </row>
    <row r="722" spans="1:6">
      <c r="A722" s="72"/>
      <c r="B722" s="72"/>
      <c r="C722" s="72"/>
      <c r="D722" s="72"/>
      <c r="E722" s="72"/>
      <c r="F722" s="72"/>
    </row>
    <row r="723" spans="1:6">
      <c r="A723" s="72"/>
      <c r="B723" s="72"/>
      <c r="C723" s="72"/>
      <c r="D723" s="72"/>
      <c r="E723" s="72"/>
      <c r="F723" s="72"/>
    </row>
    <row r="724" spans="1:6">
      <c r="A724" s="72"/>
      <c r="B724" s="72"/>
      <c r="C724" s="72"/>
      <c r="D724" s="72"/>
      <c r="E724" s="72"/>
      <c r="F724" s="72"/>
    </row>
    <row r="725" spans="1:6">
      <c r="A725" s="72"/>
      <c r="B725" s="72"/>
      <c r="C725" s="72"/>
      <c r="D725" s="72"/>
      <c r="E725" s="72"/>
      <c r="F725" s="72"/>
    </row>
    <row r="726" spans="1:6">
      <c r="A726" s="72"/>
      <c r="B726" s="72"/>
      <c r="C726" s="72"/>
      <c r="D726" s="72"/>
      <c r="E726" s="72"/>
      <c r="F726" s="72"/>
    </row>
    <row r="727" spans="1:6">
      <c r="A727" s="72"/>
      <c r="B727" s="72"/>
      <c r="C727" s="72"/>
      <c r="D727" s="72"/>
      <c r="E727" s="72"/>
      <c r="F727" s="72"/>
    </row>
    <row r="728" spans="1:6">
      <c r="A728" s="72"/>
      <c r="B728" s="72"/>
      <c r="C728" s="72"/>
      <c r="D728" s="72"/>
      <c r="E728" s="72"/>
      <c r="F728" s="72"/>
    </row>
    <row r="729" spans="1:6">
      <c r="A729" s="72"/>
      <c r="B729" s="72"/>
      <c r="C729" s="72"/>
      <c r="D729" s="72"/>
      <c r="E729" s="72"/>
      <c r="F729" s="72"/>
    </row>
    <row r="730" spans="1:6">
      <c r="A730" s="72"/>
      <c r="B730" s="72"/>
      <c r="C730" s="72"/>
      <c r="D730" s="72"/>
      <c r="E730" s="72"/>
      <c r="F730" s="72"/>
    </row>
    <row r="731" spans="1:6">
      <c r="A731" s="72"/>
      <c r="B731" s="72"/>
      <c r="C731" s="72"/>
      <c r="D731" s="72"/>
      <c r="E731" s="72"/>
      <c r="F731" s="72"/>
    </row>
    <row r="732" spans="1:6">
      <c r="A732" s="72"/>
      <c r="B732" s="72"/>
      <c r="C732" s="72"/>
      <c r="D732" s="72"/>
      <c r="E732" s="72"/>
      <c r="F732" s="72"/>
    </row>
    <row r="733" spans="1:6">
      <c r="A733" s="72"/>
      <c r="B733" s="72"/>
      <c r="C733" s="72"/>
      <c r="D733" s="72"/>
      <c r="E733" s="72"/>
      <c r="F733" s="72"/>
    </row>
    <row r="734" spans="1:6">
      <c r="A734" s="72"/>
      <c r="B734" s="72"/>
      <c r="C734" s="72"/>
      <c r="D734" s="72"/>
      <c r="E734" s="72"/>
      <c r="F734" s="72"/>
    </row>
    <row r="735" spans="1:6">
      <c r="A735" s="72"/>
      <c r="B735" s="72"/>
      <c r="C735" s="72"/>
      <c r="D735" s="72"/>
      <c r="E735" s="72"/>
      <c r="F735" s="72"/>
    </row>
    <row r="736" spans="1:6">
      <c r="A736" s="72"/>
      <c r="B736" s="72"/>
      <c r="C736" s="72"/>
      <c r="D736" s="72"/>
      <c r="E736" s="72"/>
      <c r="F736" s="72"/>
    </row>
    <row r="737" spans="1:6">
      <c r="A737" s="72"/>
      <c r="B737" s="72"/>
      <c r="C737" s="72"/>
      <c r="D737" s="72"/>
      <c r="E737" s="72"/>
      <c r="F737" s="72"/>
    </row>
    <row r="738" spans="1:6">
      <c r="A738" s="72"/>
      <c r="B738" s="72"/>
      <c r="C738" s="72"/>
      <c r="D738" s="72"/>
      <c r="E738" s="72"/>
      <c r="F738" s="72"/>
    </row>
    <row r="739" spans="1:6">
      <c r="A739" s="72"/>
      <c r="B739" s="72"/>
      <c r="C739" s="72"/>
      <c r="D739" s="72"/>
      <c r="E739" s="72"/>
      <c r="F739" s="72"/>
    </row>
    <row r="740" spans="1:6">
      <c r="A740" s="72"/>
      <c r="B740" s="72"/>
      <c r="C740" s="72"/>
      <c r="D740" s="72"/>
      <c r="E740" s="72"/>
      <c r="F740" s="72"/>
    </row>
    <row r="741" spans="1:6">
      <c r="A741" s="72"/>
      <c r="B741" s="72"/>
      <c r="C741" s="72"/>
      <c r="D741" s="72"/>
      <c r="E741" s="72"/>
      <c r="F741" s="72"/>
    </row>
    <row r="742" spans="1:6">
      <c r="A742" s="72"/>
      <c r="B742" s="72"/>
      <c r="C742" s="72"/>
      <c r="D742" s="72"/>
      <c r="E742" s="72"/>
      <c r="F742" s="72"/>
    </row>
    <row r="743" spans="1:6">
      <c r="A743" s="72"/>
      <c r="B743" s="72"/>
      <c r="C743" s="72"/>
      <c r="D743" s="72"/>
      <c r="E743" s="72"/>
      <c r="F743" s="72"/>
    </row>
    <row r="744" spans="1:6">
      <c r="A744" s="72"/>
      <c r="B744" s="72"/>
      <c r="C744" s="72"/>
      <c r="D744" s="72"/>
      <c r="E744" s="72"/>
      <c r="F744" s="72"/>
    </row>
    <row r="745" spans="1:6">
      <c r="A745" s="72"/>
      <c r="B745" s="72"/>
      <c r="C745" s="72"/>
      <c r="D745" s="72"/>
      <c r="E745" s="72"/>
      <c r="F745" s="72"/>
    </row>
    <row r="746" spans="1:6">
      <c r="A746" s="72"/>
      <c r="B746" s="72"/>
      <c r="C746" s="72"/>
      <c r="D746" s="72"/>
      <c r="E746" s="72"/>
      <c r="F746" s="72"/>
    </row>
    <row r="747" spans="1:6">
      <c r="A747" s="72"/>
      <c r="B747" s="72"/>
      <c r="C747" s="72"/>
      <c r="D747" s="72"/>
      <c r="E747" s="72"/>
      <c r="F747" s="72"/>
    </row>
    <row r="748" spans="1:6">
      <c r="A748" s="72"/>
      <c r="B748" s="72"/>
      <c r="C748" s="72"/>
      <c r="D748" s="72"/>
      <c r="E748" s="72"/>
      <c r="F748" s="72"/>
    </row>
    <row r="749" spans="1:6">
      <c r="A749" s="72"/>
      <c r="B749" s="72"/>
      <c r="C749" s="72"/>
      <c r="D749" s="72"/>
      <c r="E749" s="72"/>
      <c r="F749" s="72"/>
    </row>
    <row r="750" spans="1:6">
      <c r="A750" s="72"/>
      <c r="B750" s="72"/>
      <c r="C750" s="72"/>
      <c r="D750" s="72"/>
      <c r="E750" s="72"/>
      <c r="F750" s="72"/>
    </row>
    <row r="751" spans="1:6">
      <c r="A751" s="72"/>
      <c r="B751" s="72"/>
      <c r="C751" s="72"/>
      <c r="D751" s="72"/>
      <c r="E751" s="72"/>
      <c r="F751" s="72"/>
    </row>
    <row r="752" spans="1:6">
      <c r="A752" s="72"/>
      <c r="B752" s="72"/>
      <c r="C752" s="72"/>
      <c r="D752" s="72"/>
      <c r="E752" s="72"/>
      <c r="F752" s="72"/>
    </row>
    <row r="753" spans="1:6">
      <c r="A753" s="72"/>
      <c r="B753" s="72"/>
      <c r="C753" s="72"/>
      <c r="D753" s="72"/>
      <c r="E753" s="72"/>
      <c r="F753" s="72"/>
    </row>
    <row r="754" spans="1:6">
      <c r="A754" s="72"/>
      <c r="B754" s="72"/>
      <c r="C754" s="72"/>
      <c r="D754" s="72"/>
      <c r="E754" s="72"/>
      <c r="F754" s="72"/>
    </row>
    <row r="755" spans="1:6">
      <c r="A755" s="72"/>
      <c r="B755" s="72"/>
      <c r="C755" s="72"/>
      <c r="D755" s="72"/>
      <c r="E755" s="72"/>
      <c r="F755" s="72"/>
    </row>
    <row r="756" spans="1:6">
      <c r="A756" s="72"/>
      <c r="B756" s="72"/>
      <c r="C756" s="72"/>
      <c r="D756" s="72"/>
      <c r="E756" s="72"/>
      <c r="F756" s="72"/>
    </row>
    <row r="757" spans="1:6">
      <c r="A757" s="72"/>
      <c r="B757" s="72"/>
      <c r="C757" s="72"/>
      <c r="D757" s="72"/>
      <c r="E757" s="72"/>
      <c r="F757" s="72"/>
    </row>
    <row r="758" spans="1:6">
      <c r="A758" s="72"/>
      <c r="B758" s="72"/>
      <c r="C758" s="72"/>
      <c r="D758" s="72"/>
      <c r="E758" s="72"/>
      <c r="F758" s="72"/>
    </row>
    <row r="759" spans="1:6">
      <c r="A759" s="72"/>
      <c r="B759" s="72"/>
      <c r="C759" s="72"/>
      <c r="D759" s="72"/>
      <c r="E759" s="72"/>
      <c r="F759" s="72"/>
    </row>
    <row r="760" spans="1:6">
      <c r="A760" s="72"/>
      <c r="B760" s="72"/>
      <c r="C760" s="72"/>
      <c r="D760" s="72"/>
      <c r="E760" s="72"/>
      <c r="F760" s="72"/>
    </row>
    <row r="761" spans="1:6">
      <c r="A761" s="72"/>
      <c r="B761" s="72"/>
      <c r="C761" s="72"/>
      <c r="D761" s="72"/>
      <c r="E761" s="72"/>
      <c r="F761" s="72"/>
    </row>
    <row r="762" spans="1:6">
      <c r="A762" s="72"/>
      <c r="B762" s="72"/>
      <c r="C762" s="72"/>
      <c r="D762" s="72"/>
      <c r="E762" s="72"/>
      <c r="F762" s="72"/>
    </row>
    <row r="763" spans="1:6">
      <c r="A763" s="72"/>
      <c r="B763" s="72"/>
      <c r="C763" s="72"/>
      <c r="D763" s="72"/>
      <c r="E763" s="72"/>
      <c r="F763" s="72"/>
    </row>
    <row r="764" spans="1:6">
      <c r="A764" s="72"/>
      <c r="B764" s="72"/>
      <c r="C764" s="72"/>
      <c r="D764" s="72"/>
      <c r="E764" s="72"/>
      <c r="F764" s="72"/>
    </row>
    <row r="765" spans="1:6">
      <c r="A765" s="72"/>
      <c r="B765" s="72"/>
      <c r="C765" s="72"/>
      <c r="D765" s="72"/>
      <c r="E765" s="72"/>
      <c r="F765" s="72"/>
    </row>
    <row r="766" spans="1:6">
      <c r="A766" s="72"/>
      <c r="B766" s="72"/>
      <c r="C766" s="72"/>
      <c r="D766" s="72"/>
      <c r="E766" s="72"/>
      <c r="F766" s="72"/>
    </row>
    <row r="767" spans="1:6">
      <c r="A767" s="72"/>
      <c r="B767" s="72"/>
      <c r="C767" s="72"/>
      <c r="D767" s="72"/>
      <c r="E767" s="72"/>
      <c r="F767" s="72"/>
    </row>
    <row r="768" spans="1:6">
      <c r="A768" s="72"/>
      <c r="B768" s="72"/>
      <c r="C768" s="72"/>
      <c r="D768" s="72"/>
      <c r="E768" s="72"/>
      <c r="F768" s="72"/>
    </row>
    <row r="769" spans="1:6">
      <c r="A769" s="72"/>
      <c r="B769" s="72"/>
      <c r="C769" s="72"/>
      <c r="D769" s="72"/>
      <c r="E769" s="72"/>
      <c r="F769" s="72"/>
    </row>
    <row r="770" spans="1:6">
      <c r="A770" s="72"/>
      <c r="B770" s="72"/>
      <c r="C770" s="72"/>
      <c r="D770" s="72"/>
      <c r="E770" s="72"/>
      <c r="F770" s="72"/>
    </row>
    <row r="771" spans="1:6">
      <c r="A771" s="72"/>
      <c r="B771" s="72"/>
      <c r="C771" s="72"/>
      <c r="D771" s="72"/>
      <c r="E771" s="72"/>
      <c r="F771" s="72"/>
    </row>
    <row r="772" spans="1:6">
      <c r="A772" s="72"/>
      <c r="B772" s="72"/>
      <c r="C772" s="72"/>
      <c r="D772" s="72"/>
      <c r="E772" s="72"/>
      <c r="F772" s="72"/>
    </row>
    <row r="773" spans="1:6">
      <c r="A773" s="72"/>
      <c r="B773" s="72"/>
      <c r="C773" s="72"/>
      <c r="D773" s="72"/>
      <c r="E773" s="72"/>
      <c r="F773" s="72"/>
    </row>
    <row r="774" spans="1:6">
      <c r="A774" s="72"/>
      <c r="B774" s="72"/>
      <c r="C774" s="72"/>
      <c r="D774" s="72"/>
      <c r="E774" s="72"/>
      <c r="F774" s="72"/>
    </row>
    <row r="775" spans="1:6">
      <c r="A775" s="72"/>
      <c r="B775" s="72"/>
      <c r="C775" s="72"/>
      <c r="D775" s="72"/>
      <c r="E775" s="72"/>
      <c r="F775" s="72"/>
    </row>
    <row r="776" spans="1:6">
      <c r="A776" s="72"/>
      <c r="B776" s="72"/>
      <c r="C776" s="72"/>
      <c r="D776" s="72"/>
      <c r="E776" s="72"/>
      <c r="F776" s="72"/>
    </row>
    <row r="777" spans="1:6">
      <c r="A777" s="72"/>
      <c r="B777" s="72"/>
      <c r="C777" s="72"/>
      <c r="D777" s="72"/>
      <c r="E777" s="72"/>
      <c r="F777" s="72"/>
    </row>
    <row r="778" spans="1:6">
      <c r="A778" s="72"/>
      <c r="B778" s="72"/>
      <c r="C778" s="72"/>
      <c r="D778" s="72"/>
      <c r="E778" s="72"/>
      <c r="F778" s="72"/>
    </row>
    <row r="779" spans="1:6">
      <c r="A779" s="72"/>
      <c r="B779" s="72"/>
      <c r="C779" s="72"/>
      <c r="D779" s="72"/>
      <c r="E779" s="72"/>
      <c r="F779" s="72"/>
    </row>
    <row r="780" spans="1:6">
      <c r="A780" s="72"/>
      <c r="B780" s="72"/>
      <c r="C780" s="72"/>
      <c r="D780" s="72"/>
      <c r="E780" s="72"/>
      <c r="F780" s="72"/>
    </row>
    <row r="781" spans="1:6">
      <c r="A781" s="72"/>
      <c r="B781" s="72"/>
      <c r="C781" s="72"/>
      <c r="D781" s="72"/>
      <c r="E781" s="72"/>
      <c r="F781" s="72"/>
    </row>
    <row r="782" spans="1:6">
      <c r="A782" s="72"/>
      <c r="B782" s="72"/>
      <c r="C782" s="72"/>
      <c r="D782" s="72"/>
      <c r="E782" s="72"/>
      <c r="F782" s="72"/>
    </row>
    <row r="783" spans="1:6">
      <c r="A783" s="72"/>
      <c r="B783" s="72"/>
      <c r="C783" s="72"/>
      <c r="D783" s="72"/>
      <c r="E783" s="72"/>
      <c r="F783" s="72"/>
    </row>
    <row r="784" spans="1:6">
      <c r="A784" s="72"/>
      <c r="B784" s="72"/>
      <c r="C784" s="72"/>
      <c r="D784" s="72"/>
      <c r="E784" s="72"/>
      <c r="F784" s="72"/>
    </row>
    <row r="785" spans="1:6">
      <c r="A785" s="72"/>
      <c r="B785" s="72"/>
      <c r="C785" s="72"/>
      <c r="D785" s="72"/>
      <c r="E785" s="72"/>
      <c r="F785" s="72"/>
    </row>
    <row r="786" spans="1:6">
      <c r="A786" s="72"/>
      <c r="B786" s="72"/>
      <c r="C786" s="72"/>
      <c r="D786" s="72"/>
      <c r="E786" s="72"/>
      <c r="F786" s="72"/>
    </row>
    <row r="787" spans="1:6">
      <c r="A787" s="72"/>
      <c r="B787" s="72"/>
      <c r="C787" s="72"/>
      <c r="D787" s="72"/>
      <c r="E787" s="72"/>
      <c r="F787" s="72"/>
    </row>
    <row r="788" spans="1:6">
      <c r="A788" s="72"/>
      <c r="B788" s="72"/>
      <c r="C788" s="72"/>
      <c r="D788" s="72"/>
      <c r="E788" s="72"/>
      <c r="F788" s="72"/>
    </row>
    <row r="789" spans="1:6">
      <c r="A789" s="72"/>
      <c r="B789" s="72"/>
      <c r="C789" s="72"/>
      <c r="D789" s="72"/>
      <c r="E789" s="72"/>
      <c r="F789" s="72"/>
    </row>
    <row r="790" spans="1:6">
      <c r="A790" s="72"/>
      <c r="B790" s="72"/>
      <c r="C790" s="72"/>
      <c r="D790" s="72"/>
      <c r="E790" s="72"/>
      <c r="F790" s="72"/>
    </row>
    <row r="791" spans="1:6">
      <c r="A791" s="72"/>
      <c r="B791" s="72"/>
      <c r="C791" s="72"/>
      <c r="D791" s="72"/>
      <c r="E791" s="72"/>
      <c r="F791" s="72"/>
    </row>
    <row r="792" spans="1:6">
      <c r="A792" s="72"/>
      <c r="B792" s="72"/>
      <c r="C792" s="72"/>
      <c r="D792" s="72"/>
      <c r="E792" s="72"/>
      <c r="F792" s="72"/>
    </row>
    <row r="793" spans="1:6">
      <c r="A793" s="72"/>
      <c r="B793" s="72"/>
      <c r="C793" s="72"/>
      <c r="D793" s="72"/>
      <c r="E793" s="72"/>
      <c r="F793" s="72"/>
    </row>
    <row r="794" spans="1:6">
      <c r="A794" s="72"/>
      <c r="B794" s="72"/>
      <c r="C794" s="72"/>
      <c r="D794" s="72"/>
      <c r="E794" s="72"/>
      <c r="F794" s="72"/>
    </row>
    <row r="795" spans="1:6">
      <c r="A795" s="72"/>
      <c r="B795" s="72"/>
      <c r="C795" s="72"/>
      <c r="D795" s="72"/>
      <c r="E795" s="72"/>
      <c r="F795" s="72"/>
    </row>
    <row r="796" spans="1:6">
      <c r="A796" s="72"/>
      <c r="B796" s="72"/>
      <c r="C796" s="72"/>
      <c r="D796" s="72"/>
      <c r="E796" s="72"/>
      <c r="F796" s="72"/>
    </row>
    <row r="797" spans="1:6">
      <c r="A797" s="72"/>
      <c r="B797" s="72"/>
      <c r="C797" s="72"/>
      <c r="D797" s="72"/>
      <c r="E797" s="72"/>
      <c r="F797" s="72"/>
    </row>
    <row r="798" spans="1:6">
      <c r="A798" s="72"/>
      <c r="B798" s="72"/>
      <c r="C798" s="72"/>
      <c r="D798" s="72"/>
      <c r="E798" s="72"/>
      <c r="F798" s="72"/>
    </row>
    <row r="799" spans="1:6">
      <c r="A799" s="72"/>
      <c r="B799" s="72"/>
      <c r="C799" s="72"/>
      <c r="D799" s="72"/>
      <c r="E799" s="72"/>
      <c r="F799" s="72"/>
    </row>
    <row r="800" spans="1:6">
      <c r="A800" s="72"/>
      <c r="B800" s="72"/>
      <c r="C800" s="72"/>
      <c r="D800" s="72"/>
      <c r="E800" s="72"/>
      <c r="F800" s="72"/>
    </row>
    <row r="801" spans="1:6">
      <c r="A801" s="72"/>
      <c r="B801" s="72"/>
      <c r="C801" s="72"/>
      <c r="D801" s="72"/>
      <c r="E801" s="72"/>
      <c r="F801" s="72"/>
    </row>
    <row r="802" spans="1:6">
      <c r="A802" s="72"/>
      <c r="B802" s="72"/>
      <c r="C802" s="72"/>
      <c r="D802" s="72"/>
      <c r="E802" s="72"/>
      <c r="F802" s="72"/>
    </row>
    <row r="803" spans="1:6">
      <c r="A803" s="72"/>
      <c r="B803" s="72"/>
      <c r="C803" s="72"/>
      <c r="D803" s="72"/>
      <c r="E803" s="72"/>
      <c r="F803" s="72"/>
    </row>
    <row r="804" spans="1:6">
      <c r="A804" s="72"/>
      <c r="B804" s="72"/>
      <c r="C804" s="72"/>
      <c r="D804" s="72"/>
      <c r="E804" s="72"/>
      <c r="F804" s="72"/>
    </row>
    <row r="805" spans="1:6">
      <c r="A805" s="72"/>
      <c r="B805" s="72"/>
      <c r="C805" s="72"/>
      <c r="D805" s="72"/>
      <c r="E805" s="72"/>
      <c r="F805" s="72"/>
    </row>
    <row r="806" spans="1:6">
      <c r="A806" s="72"/>
      <c r="B806" s="72"/>
      <c r="C806" s="72"/>
      <c r="D806" s="72"/>
      <c r="E806" s="72"/>
      <c r="F806" s="72"/>
    </row>
    <row r="807" spans="1:6">
      <c r="A807" s="72"/>
      <c r="B807" s="72"/>
      <c r="C807" s="72"/>
      <c r="D807" s="72"/>
      <c r="E807" s="72"/>
      <c r="F807" s="72"/>
    </row>
    <row r="808" spans="1:6">
      <c r="A808" s="72"/>
      <c r="B808" s="72"/>
      <c r="C808" s="72"/>
      <c r="D808" s="72"/>
      <c r="E808" s="72"/>
      <c r="F808" s="72"/>
    </row>
    <row r="809" spans="1:6">
      <c r="A809" s="72"/>
      <c r="B809" s="72"/>
      <c r="C809" s="72"/>
      <c r="D809" s="72"/>
      <c r="E809" s="72"/>
      <c r="F809" s="72"/>
    </row>
    <row r="810" spans="1:6">
      <c r="A810" s="72"/>
      <c r="B810" s="72"/>
      <c r="C810" s="72"/>
      <c r="D810" s="72"/>
      <c r="E810" s="72"/>
      <c r="F810" s="72"/>
    </row>
    <row r="811" spans="1:6">
      <c r="A811" s="72"/>
      <c r="B811" s="72"/>
      <c r="C811" s="72"/>
      <c r="D811" s="72"/>
      <c r="E811" s="72"/>
      <c r="F811" s="72"/>
    </row>
    <row r="812" spans="1:6">
      <c r="A812" s="72"/>
      <c r="B812" s="72"/>
      <c r="C812" s="72"/>
      <c r="D812" s="72"/>
      <c r="E812" s="72"/>
      <c r="F812" s="72"/>
    </row>
    <row r="813" spans="1:6">
      <c r="A813" s="72"/>
      <c r="B813" s="72"/>
      <c r="C813" s="72"/>
      <c r="D813" s="72"/>
      <c r="E813" s="72"/>
      <c r="F813" s="72"/>
    </row>
    <row r="814" spans="1:6">
      <c r="A814" s="72"/>
      <c r="B814" s="72"/>
      <c r="C814" s="72"/>
      <c r="D814" s="72"/>
      <c r="E814" s="72"/>
      <c r="F814" s="72"/>
    </row>
    <row r="815" spans="1:6">
      <c r="A815" s="72"/>
      <c r="B815" s="72"/>
      <c r="C815" s="72"/>
      <c r="D815" s="72"/>
      <c r="E815" s="72"/>
      <c r="F815" s="72"/>
    </row>
    <row r="816" spans="1:6">
      <c r="A816" s="72"/>
      <c r="B816" s="72"/>
      <c r="C816" s="72"/>
      <c r="D816" s="72"/>
      <c r="E816" s="72"/>
      <c r="F816" s="72"/>
    </row>
    <row r="817" spans="1:6">
      <c r="A817" s="72"/>
      <c r="B817" s="72"/>
      <c r="C817" s="72"/>
      <c r="D817" s="72"/>
      <c r="E817" s="72"/>
      <c r="F817" s="72"/>
    </row>
    <row r="818" spans="1:6">
      <c r="A818" s="72"/>
      <c r="B818" s="72"/>
      <c r="C818" s="72"/>
      <c r="D818" s="72"/>
      <c r="E818" s="72"/>
      <c r="F818" s="72"/>
    </row>
    <row r="819" spans="1:6">
      <c r="A819" s="72"/>
      <c r="B819" s="72"/>
      <c r="C819" s="72"/>
      <c r="D819" s="72"/>
      <c r="E819" s="72"/>
      <c r="F819" s="72"/>
    </row>
    <row r="820" spans="1:6">
      <c r="A820" s="72"/>
      <c r="B820" s="72"/>
      <c r="C820" s="72"/>
      <c r="D820" s="72"/>
      <c r="E820" s="72"/>
      <c r="F820" s="72"/>
    </row>
    <row r="821" spans="1:6">
      <c r="A821" s="72"/>
      <c r="B821" s="72"/>
      <c r="C821" s="72"/>
      <c r="D821" s="72"/>
      <c r="E821" s="72"/>
      <c r="F821" s="72"/>
    </row>
    <row r="822" spans="1:6">
      <c r="A822" s="72"/>
      <c r="B822" s="72"/>
      <c r="C822" s="72"/>
      <c r="D822" s="72"/>
      <c r="E822" s="72"/>
      <c r="F822" s="72"/>
    </row>
    <row r="823" spans="1:6">
      <c r="A823" s="72"/>
      <c r="B823" s="72"/>
      <c r="C823" s="72"/>
      <c r="D823" s="72"/>
      <c r="E823" s="72"/>
      <c r="F823" s="72"/>
    </row>
    <row r="824" spans="1:6">
      <c r="A824" s="72"/>
      <c r="B824" s="72"/>
      <c r="C824" s="72"/>
      <c r="D824" s="72"/>
      <c r="E824" s="72"/>
      <c r="F824" s="72"/>
    </row>
    <row r="825" spans="1:6">
      <c r="A825" s="72"/>
      <c r="B825" s="72"/>
      <c r="C825" s="72"/>
      <c r="D825" s="72"/>
      <c r="E825" s="72"/>
      <c r="F825" s="72"/>
    </row>
    <row r="826" spans="1:6">
      <c r="A826" s="72"/>
      <c r="B826" s="72"/>
      <c r="C826" s="72"/>
      <c r="D826" s="72"/>
      <c r="E826" s="72"/>
      <c r="F826" s="72"/>
    </row>
    <row r="827" spans="1:6">
      <c r="A827" s="72"/>
      <c r="B827" s="72"/>
      <c r="C827" s="72"/>
      <c r="D827" s="72"/>
      <c r="E827" s="72"/>
      <c r="F827" s="72"/>
    </row>
    <row r="828" spans="1:6">
      <c r="A828" s="72"/>
      <c r="B828" s="72"/>
      <c r="C828" s="72"/>
      <c r="D828" s="72"/>
      <c r="E828" s="72"/>
      <c r="F828" s="72"/>
    </row>
    <row r="829" spans="1:6">
      <c r="A829" s="72"/>
      <c r="B829" s="72"/>
      <c r="C829" s="72"/>
      <c r="D829" s="72"/>
      <c r="E829" s="72"/>
      <c r="F829" s="72"/>
    </row>
    <row r="830" spans="1:6">
      <c r="A830" s="72"/>
      <c r="B830" s="72"/>
      <c r="C830" s="72"/>
      <c r="D830" s="72"/>
      <c r="E830" s="72"/>
      <c r="F830" s="72"/>
    </row>
    <row r="831" spans="1:6">
      <c r="A831" s="72"/>
      <c r="B831" s="72"/>
      <c r="C831" s="72"/>
      <c r="D831" s="72"/>
      <c r="E831" s="72"/>
      <c r="F831" s="72"/>
    </row>
    <row r="832" spans="1:6">
      <c r="A832" s="72"/>
      <c r="B832" s="72"/>
      <c r="C832" s="72"/>
      <c r="D832" s="72"/>
      <c r="E832" s="72"/>
      <c r="F832" s="72"/>
    </row>
    <row r="833" spans="1:6">
      <c r="A833" s="72"/>
      <c r="B833" s="72"/>
      <c r="C833" s="72"/>
      <c r="D833" s="72"/>
      <c r="E833" s="72"/>
      <c r="F833" s="72"/>
    </row>
    <row r="834" spans="1:6">
      <c r="A834" s="72"/>
      <c r="B834" s="72"/>
      <c r="C834" s="72"/>
      <c r="D834" s="72"/>
      <c r="E834" s="72"/>
      <c r="F834" s="72"/>
    </row>
    <row r="835" spans="1:6">
      <c r="A835" s="72"/>
      <c r="B835" s="72"/>
      <c r="C835" s="72"/>
      <c r="D835" s="72"/>
      <c r="E835" s="72"/>
      <c r="F835" s="72"/>
    </row>
    <row r="836" spans="1:6">
      <c r="A836" s="72"/>
      <c r="B836" s="72"/>
      <c r="C836" s="72"/>
      <c r="D836" s="72"/>
      <c r="E836" s="72"/>
      <c r="F836" s="72"/>
    </row>
    <row r="837" spans="1:6">
      <c r="A837" s="72"/>
      <c r="B837" s="72"/>
      <c r="C837" s="72"/>
      <c r="D837" s="72"/>
      <c r="E837" s="72"/>
      <c r="F837" s="72"/>
    </row>
    <row r="838" spans="1:6">
      <c r="A838" s="72"/>
      <c r="B838" s="72"/>
      <c r="C838" s="72"/>
      <c r="D838" s="72"/>
      <c r="E838" s="72"/>
      <c r="F838" s="72"/>
    </row>
    <row r="839" spans="1:6">
      <c r="A839" s="72"/>
      <c r="B839" s="72"/>
      <c r="C839" s="72"/>
      <c r="D839" s="72"/>
      <c r="E839" s="72"/>
      <c r="F839" s="72"/>
    </row>
    <row r="840" spans="1:6">
      <c r="A840" s="72"/>
      <c r="B840" s="72"/>
      <c r="C840" s="72"/>
      <c r="D840" s="72"/>
      <c r="E840" s="72"/>
      <c r="F840" s="72"/>
    </row>
    <row r="841" spans="1:6">
      <c r="A841" s="72"/>
      <c r="B841" s="72"/>
      <c r="C841" s="72"/>
      <c r="D841" s="72"/>
      <c r="E841" s="72"/>
      <c r="F841" s="72"/>
    </row>
    <row r="842" spans="1:6">
      <c r="A842" s="72"/>
      <c r="B842" s="72"/>
      <c r="C842" s="72"/>
      <c r="D842" s="72"/>
      <c r="E842" s="72"/>
      <c r="F842" s="72"/>
    </row>
    <row r="843" spans="1:6">
      <c r="A843" s="72"/>
      <c r="B843" s="72"/>
      <c r="C843" s="72"/>
      <c r="D843" s="72"/>
      <c r="E843" s="72"/>
      <c r="F843" s="72"/>
    </row>
    <row r="844" spans="1:6">
      <c r="A844" s="72"/>
      <c r="B844" s="72"/>
      <c r="C844" s="72"/>
      <c r="D844" s="72"/>
      <c r="E844" s="72"/>
      <c r="F844" s="72"/>
    </row>
    <row r="845" spans="1:6">
      <c r="A845" s="72"/>
      <c r="B845" s="72"/>
      <c r="C845" s="72"/>
      <c r="D845" s="72"/>
      <c r="E845" s="72"/>
      <c r="F845" s="72"/>
    </row>
    <row r="846" spans="1:6">
      <c r="A846" s="72"/>
      <c r="B846" s="72"/>
      <c r="C846" s="72"/>
      <c r="D846" s="72"/>
      <c r="E846" s="72"/>
      <c r="F846" s="72"/>
    </row>
    <row r="847" spans="1:6">
      <c r="A847" s="72"/>
      <c r="B847" s="72"/>
      <c r="C847" s="72"/>
      <c r="D847" s="72"/>
      <c r="E847" s="72"/>
      <c r="F847" s="72"/>
    </row>
    <row r="848" spans="1:6">
      <c r="A848" s="72"/>
      <c r="B848" s="72"/>
      <c r="C848" s="72"/>
      <c r="D848" s="72"/>
      <c r="E848" s="72"/>
      <c r="F848" s="72"/>
    </row>
    <row r="849" spans="1:6">
      <c r="A849" s="72"/>
      <c r="B849" s="72"/>
      <c r="C849" s="72"/>
      <c r="D849" s="72"/>
      <c r="E849" s="72"/>
      <c r="F849" s="72"/>
    </row>
    <row r="850" spans="1:6">
      <c r="A850" s="72"/>
      <c r="B850" s="72"/>
      <c r="C850" s="72"/>
      <c r="D850" s="72"/>
      <c r="E850" s="72"/>
      <c r="F850" s="72"/>
    </row>
    <row r="851" spans="1:6">
      <c r="A851" s="72"/>
      <c r="B851" s="72"/>
      <c r="C851" s="72"/>
      <c r="D851" s="72"/>
      <c r="E851" s="72"/>
      <c r="F851" s="72"/>
    </row>
    <row r="852" spans="1:6">
      <c r="A852" s="72"/>
      <c r="B852" s="72"/>
      <c r="C852" s="72"/>
      <c r="D852" s="72"/>
      <c r="E852" s="72"/>
      <c r="F852" s="72"/>
    </row>
    <row r="853" spans="1:6">
      <c r="A853" s="72"/>
      <c r="B853" s="72"/>
      <c r="C853" s="72"/>
      <c r="D853" s="72"/>
      <c r="E853" s="72"/>
      <c r="F853" s="72"/>
    </row>
    <row r="854" spans="1:6">
      <c r="A854" s="72"/>
      <c r="B854" s="72"/>
      <c r="C854" s="72"/>
      <c r="D854" s="72"/>
      <c r="E854" s="72"/>
      <c r="F854" s="72"/>
    </row>
    <row r="855" spans="1:6">
      <c r="A855" s="72"/>
      <c r="B855" s="72"/>
      <c r="C855" s="72"/>
      <c r="D855" s="72"/>
      <c r="E855" s="72"/>
      <c r="F855" s="72"/>
    </row>
    <row r="856" spans="1:6">
      <c r="A856" s="72"/>
      <c r="B856" s="72"/>
      <c r="C856" s="72"/>
      <c r="D856" s="72"/>
      <c r="E856" s="72"/>
      <c r="F856" s="72"/>
    </row>
    <row r="857" spans="1:6">
      <c r="A857" s="72"/>
      <c r="B857" s="72"/>
      <c r="C857" s="72"/>
      <c r="D857" s="72"/>
      <c r="E857" s="72"/>
      <c r="F857" s="72"/>
    </row>
    <row r="858" spans="1:6">
      <c r="A858" s="72"/>
      <c r="B858" s="72"/>
      <c r="C858" s="72"/>
      <c r="D858" s="72"/>
      <c r="E858" s="72"/>
      <c r="F858" s="72"/>
    </row>
    <row r="859" spans="1:6">
      <c r="A859" s="72"/>
      <c r="B859" s="72"/>
      <c r="C859" s="72"/>
      <c r="D859" s="72"/>
      <c r="E859" s="72"/>
      <c r="F859" s="72"/>
    </row>
    <row r="860" spans="1:6">
      <c r="A860" s="72"/>
      <c r="B860" s="72"/>
      <c r="C860" s="72"/>
      <c r="D860" s="72"/>
      <c r="E860" s="72"/>
      <c r="F860" s="72"/>
    </row>
    <row r="861" spans="1:6">
      <c r="A861" s="72"/>
      <c r="B861" s="72"/>
      <c r="C861" s="72"/>
      <c r="D861" s="72"/>
      <c r="E861" s="72"/>
      <c r="F861" s="72"/>
    </row>
    <row r="862" spans="1:6">
      <c r="A862" s="72"/>
      <c r="B862" s="72"/>
      <c r="C862" s="72"/>
      <c r="D862" s="72"/>
      <c r="E862" s="72"/>
      <c r="F862" s="72"/>
    </row>
    <row r="863" spans="1:6">
      <c r="A863" s="72"/>
      <c r="B863" s="72"/>
      <c r="C863" s="72"/>
      <c r="D863" s="72"/>
      <c r="E863" s="72"/>
      <c r="F863" s="72"/>
    </row>
    <row r="864" spans="1:6">
      <c r="A864" s="72"/>
      <c r="B864" s="72"/>
      <c r="C864" s="72"/>
      <c r="D864" s="72"/>
      <c r="E864" s="72"/>
      <c r="F864" s="72"/>
    </row>
    <row r="865" spans="1:6">
      <c r="A865" s="72"/>
      <c r="B865" s="72"/>
      <c r="C865" s="72"/>
      <c r="D865" s="72"/>
      <c r="E865" s="72"/>
      <c r="F865" s="72"/>
    </row>
    <row r="866" spans="1:6">
      <c r="A866" s="72"/>
      <c r="B866" s="72"/>
      <c r="C866" s="72"/>
      <c r="D866" s="72"/>
      <c r="E866" s="72"/>
      <c r="F866" s="72"/>
    </row>
  </sheetData>
  <autoFilter ref="A1:F93" xr:uid="{00000000-0009-0000-0000-000001000000}">
    <filterColumn colId="5">
      <filters blank="1">
        <filter val="Итог суточные,руб."/>
        <filter val="р.0.00"/>
        <filter val="р.11,900.00"/>
        <filter val="р.3,400.00"/>
        <filter val="р.5,100.00"/>
        <filter val="р.6,800.00"/>
      </filters>
    </filterColumn>
  </autoFilter>
  <printOptions horizontalCentered="1" gridLines="1"/>
  <pageMargins left="0.7" right="0.7" top="0.31529427465634596" bottom="0.6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63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26" customWidth="1"/>
    <col min="2" max="2" width="64.85546875" customWidth="1"/>
    <col min="3" max="3" width="80.7109375" customWidth="1"/>
    <col min="4" max="4" width="12.42578125" customWidth="1"/>
    <col min="5" max="24" width="27" customWidth="1"/>
  </cols>
  <sheetData>
    <row r="1" spans="1:24" ht="13.5" customHeight="1">
      <c r="A1" s="73" t="s">
        <v>92</v>
      </c>
      <c r="B1" s="74" t="s">
        <v>93</v>
      </c>
      <c r="C1" s="74" t="s">
        <v>94</v>
      </c>
      <c r="D1" s="75" t="s">
        <v>95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</row>
    <row r="2" spans="1:24" ht="13.5" customHeight="1">
      <c r="A2" s="77" t="s">
        <v>96</v>
      </c>
      <c r="B2" s="78" t="s">
        <v>97</v>
      </c>
      <c r="C2" s="78" t="str">
        <f t="shared" ref="C2:C49" si="0">CONCATENATE(A2," - ",B2," - ",A2)</f>
        <v>Архангельск - Новодвинск - Архангельск</v>
      </c>
      <c r="D2" s="79">
        <v>52</v>
      </c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</row>
    <row r="3" spans="1:24" ht="13.5" customHeight="1">
      <c r="A3" s="77" t="s">
        <v>96</v>
      </c>
      <c r="B3" s="77" t="s">
        <v>98</v>
      </c>
      <c r="C3" s="77" t="str">
        <f t="shared" si="0"/>
        <v>Архангельск - Северодвинск - Архангельск</v>
      </c>
      <c r="D3" s="80">
        <v>88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</row>
    <row r="4" spans="1:24" ht="13.5" customHeight="1">
      <c r="A4" s="77" t="s">
        <v>99</v>
      </c>
      <c r="B4" s="77" t="s">
        <v>100</v>
      </c>
      <c r="C4" s="77" t="str">
        <f t="shared" si="0"/>
        <v>Балашиха - Воскресенск - Балашиха</v>
      </c>
      <c r="D4" s="80">
        <v>199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</row>
    <row r="5" spans="1:24" ht="13.5" customHeight="1">
      <c r="A5" s="77" t="s">
        <v>99</v>
      </c>
      <c r="B5" s="77" t="s">
        <v>101</v>
      </c>
      <c r="C5" s="77" t="str">
        <f t="shared" si="0"/>
        <v>Балашиха - Шатура - Балашиха</v>
      </c>
      <c r="D5" s="80">
        <v>245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</row>
    <row r="6" spans="1:24" ht="13.5" customHeight="1">
      <c r="A6" s="77" t="s">
        <v>102</v>
      </c>
      <c r="B6" s="77" t="s">
        <v>103</v>
      </c>
      <c r="C6" s="77" t="str">
        <f t="shared" si="0"/>
        <v>Барнаул - Заринск - Барнаул</v>
      </c>
      <c r="D6" s="80">
        <v>228</v>
      </c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</row>
    <row r="7" spans="1:24" ht="13.5" customHeight="1">
      <c r="A7" s="77" t="s">
        <v>102</v>
      </c>
      <c r="B7" s="77" t="s">
        <v>104</v>
      </c>
      <c r="C7" s="77" t="str">
        <f t="shared" si="0"/>
        <v>Барнаул - Бийск - Барнаул</v>
      </c>
      <c r="D7" s="80">
        <v>319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</row>
    <row r="8" spans="1:24" ht="13.5" customHeight="1">
      <c r="A8" s="77" t="s">
        <v>102</v>
      </c>
      <c r="B8" s="77" t="s">
        <v>105</v>
      </c>
      <c r="C8" s="77" t="str">
        <f t="shared" si="0"/>
        <v>Барнаул - Бийск - Заринск - Барнаул</v>
      </c>
      <c r="D8" s="80">
        <v>442</v>
      </c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</row>
    <row r="9" spans="1:24" ht="13.5" customHeight="1">
      <c r="A9" s="77" t="s">
        <v>102</v>
      </c>
      <c r="B9" s="77" t="s">
        <v>106</v>
      </c>
      <c r="C9" s="77" t="str">
        <f t="shared" si="0"/>
        <v>Барнаул - Новоалтайск - Барнаул</v>
      </c>
      <c r="D9" s="80">
        <v>33</v>
      </c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</row>
    <row r="10" spans="1:24" ht="13.5" customHeight="1">
      <c r="A10" s="77" t="s">
        <v>107</v>
      </c>
      <c r="B10" s="77" t="s">
        <v>108</v>
      </c>
      <c r="C10" s="77" t="str">
        <f t="shared" si="0"/>
        <v>Белгород - Борисовка - Белгород</v>
      </c>
      <c r="D10" s="80">
        <v>96</v>
      </c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</row>
    <row r="11" spans="1:24" ht="13.5" customHeight="1">
      <c r="A11" s="77" t="s">
        <v>107</v>
      </c>
      <c r="B11" s="77" t="s">
        <v>109</v>
      </c>
      <c r="C11" s="77" t="str">
        <f t="shared" si="0"/>
        <v>Белгород - Борисовка -Томаровка - Белгород</v>
      </c>
      <c r="D11" s="80">
        <v>99</v>
      </c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</row>
    <row r="12" spans="1:24" ht="13.5" customHeight="1">
      <c r="A12" s="77" t="s">
        <v>107</v>
      </c>
      <c r="B12" s="81" t="s">
        <v>110</v>
      </c>
      <c r="C12" s="77" t="str">
        <f t="shared" si="0"/>
        <v>Белгород - Ивня - Ракитное - Белгород</v>
      </c>
      <c r="D12" s="80">
        <v>183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</row>
    <row r="13" spans="1:24" ht="13.5" customHeight="1">
      <c r="A13" s="77" t="s">
        <v>107</v>
      </c>
      <c r="B13" s="81" t="s">
        <v>111</v>
      </c>
      <c r="C13" s="77" t="str">
        <f t="shared" si="0"/>
        <v>Белгород - Ивня - Белгород</v>
      </c>
      <c r="D13" s="80">
        <v>155</v>
      </c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</row>
    <row r="14" spans="1:24" ht="13.5" customHeight="1">
      <c r="A14" s="81" t="s">
        <v>107</v>
      </c>
      <c r="B14" s="81" t="s">
        <v>112</v>
      </c>
      <c r="C14" s="77" t="str">
        <f t="shared" si="0"/>
        <v>Белгород - Маслова пристань - Шебекино - Разумное - Белгород</v>
      </c>
      <c r="D14" s="80">
        <v>72</v>
      </c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</row>
    <row r="15" spans="1:24" ht="13.5" customHeight="1">
      <c r="A15" s="77" t="s">
        <v>107</v>
      </c>
      <c r="B15" s="82" t="s">
        <v>113</v>
      </c>
      <c r="C15" s="77" t="str">
        <f t="shared" si="0"/>
        <v>Белгород - Новая Таволжанка - Шебекино - Маслова Пристань - Разумное - Белгород</v>
      </c>
      <c r="D15" s="80">
        <v>86</v>
      </c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</row>
    <row r="16" spans="1:24" ht="13.5" customHeight="1">
      <c r="A16" s="77" t="s">
        <v>107</v>
      </c>
      <c r="B16" s="82" t="s">
        <v>114</v>
      </c>
      <c r="C16" s="77" t="str">
        <f t="shared" si="0"/>
        <v>Белгород - Прохоровка  - Белгород</v>
      </c>
      <c r="D16" s="83">
        <v>123</v>
      </c>
      <c r="E16" s="84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</row>
    <row r="17" spans="1:24" ht="13.5" customHeight="1">
      <c r="A17" s="77" t="s">
        <v>107</v>
      </c>
      <c r="B17" s="77" t="s">
        <v>115</v>
      </c>
      <c r="C17" s="77" t="str">
        <f t="shared" si="0"/>
        <v>Белгород - Старый Оскол - Белгород</v>
      </c>
      <c r="D17" s="80">
        <v>284</v>
      </c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</row>
    <row r="18" spans="1:24" ht="13.5" customHeight="1">
      <c r="A18" s="77" t="s">
        <v>107</v>
      </c>
      <c r="B18" s="77" t="s">
        <v>116</v>
      </c>
      <c r="C18" s="77" t="str">
        <f t="shared" si="0"/>
        <v>Белгород - Губкин - Старый Оскол - Белгород</v>
      </c>
      <c r="D18" s="83">
        <v>287</v>
      </c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</row>
    <row r="19" spans="1:24" ht="13.5" customHeight="1">
      <c r="A19" s="77" t="s">
        <v>107</v>
      </c>
      <c r="B19" s="82" t="s">
        <v>117</v>
      </c>
      <c r="C19" s="77" t="str">
        <f t="shared" si="0"/>
        <v>Белгород - Строитель - Прохоровка - Белгород</v>
      </c>
      <c r="D19" s="83">
        <v>125</v>
      </c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</row>
    <row r="20" spans="1:24" ht="13.5" customHeight="1">
      <c r="A20" s="77" t="s">
        <v>118</v>
      </c>
      <c r="B20" s="82" t="s">
        <v>119</v>
      </c>
      <c r="C20" s="77" t="str">
        <f t="shared" si="0"/>
        <v>Брянск - Белые Берега - Карачев - Брянск</v>
      </c>
      <c r="D20" s="80">
        <v>102</v>
      </c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</row>
    <row r="21" spans="1:24" ht="13.5" customHeight="1">
      <c r="A21" s="77" t="s">
        <v>118</v>
      </c>
      <c r="B21" s="77" t="s">
        <v>120</v>
      </c>
      <c r="C21" s="77" t="str">
        <f t="shared" si="0"/>
        <v>Брянск - Выгоничи - Жирятино - Жуковка - Брянск</v>
      </c>
      <c r="D21" s="80">
        <v>168</v>
      </c>
      <c r="E21" s="84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</row>
    <row r="22" spans="1:24" ht="13.5" customHeight="1">
      <c r="A22" s="77" t="s">
        <v>118</v>
      </c>
      <c r="B22" s="77" t="s">
        <v>121</v>
      </c>
      <c r="C22" s="77" t="str">
        <f t="shared" si="0"/>
        <v>Брянск - Выгоничи - Жирятино - Клетня - Жуковка - Брянск</v>
      </c>
      <c r="D22" s="80">
        <v>249</v>
      </c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</row>
    <row r="23" spans="1:24" ht="13.5" customHeight="1">
      <c r="A23" s="77" t="s">
        <v>118</v>
      </c>
      <c r="B23" s="77" t="s">
        <v>122</v>
      </c>
      <c r="C23" s="77" t="str">
        <f t="shared" si="0"/>
        <v>Брянск - Выгоничи - Клетня - Жуковка - Брянск</v>
      </c>
      <c r="D23" s="80">
        <v>266</v>
      </c>
      <c r="E23" s="84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</row>
    <row r="24" spans="1:24" ht="13.5" customHeight="1">
      <c r="A24" s="77" t="s">
        <v>118</v>
      </c>
      <c r="B24" s="77" t="s">
        <v>123</v>
      </c>
      <c r="C24" s="77" t="str">
        <f t="shared" si="0"/>
        <v>Брянск - Выгоничи - Трубчевск - Суземка - Комаричи - Навля - Брянск</v>
      </c>
      <c r="D24" s="80">
        <v>355</v>
      </c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</row>
    <row r="25" spans="1:24" ht="13.5" customHeight="1">
      <c r="A25" s="77" t="s">
        <v>118</v>
      </c>
      <c r="B25" s="77" t="s">
        <v>124</v>
      </c>
      <c r="C25" s="77" t="str">
        <f t="shared" si="0"/>
        <v>Брянск - Жирятино - Жуковка - Клетня - Брянск</v>
      </c>
      <c r="D25" s="80">
        <v>247</v>
      </c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</row>
    <row r="26" spans="1:24" ht="13.5" customHeight="1">
      <c r="A26" s="77" t="s">
        <v>118</v>
      </c>
      <c r="B26" s="82" t="s">
        <v>125</v>
      </c>
      <c r="C26" s="77" t="str">
        <f t="shared" si="0"/>
        <v>Брянск - Дятьково - Фокино - Брянск</v>
      </c>
      <c r="D26" s="80">
        <v>105</v>
      </c>
      <c r="E26" s="84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</row>
    <row r="27" spans="1:24" ht="13.5" customHeight="1">
      <c r="A27" s="77" t="s">
        <v>118</v>
      </c>
      <c r="B27" s="82" t="s">
        <v>126</v>
      </c>
      <c r="C27" s="77" t="str">
        <f t="shared" si="0"/>
        <v>Брянск - Навля - Суземка - Трубчевск - Брянск</v>
      </c>
      <c r="D27" s="80">
        <v>291</v>
      </c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</row>
    <row r="28" spans="1:24" ht="13.5" customHeight="1">
      <c r="A28" s="77" t="s">
        <v>118</v>
      </c>
      <c r="B28" s="77" t="s">
        <v>127</v>
      </c>
      <c r="C28" s="77" t="str">
        <f t="shared" si="0"/>
        <v>Брянск - Погар - Почеп - Брянск</v>
      </c>
      <c r="D28" s="80">
        <v>252</v>
      </c>
      <c r="E28" s="85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</row>
    <row r="29" spans="1:24" ht="13.5" customHeight="1">
      <c r="A29" s="77" t="s">
        <v>118</v>
      </c>
      <c r="B29" s="77" t="s">
        <v>128</v>
      </c>
      <c r="C29" s="77" t="str">
        <f t="shared" si="0"/>
        <v>Брянск - Суземка - Трубчевск  - Брянск</v>
      </c>
      <c r="D29" s="80">
        <v>287</v>
      </c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</row>
    <row r="30" spans="1:24" ht="13.5" customHeight="1">
      <c r="A30" s="77" t="s">
        <v>118</v>
      </c>
      <c r="B30" s="77" t="s">
        <v>129</v>
      </c>
      <c r="C30" s="77" t="str">
        <f t="shared" si="0"/>
        <v>Брянск - Жуковка - Выгоничи - Брянск</v>
      </c>
      <c r="D30" s="80">
        <v>183</v>
      </c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</row>
    <row r="31" spans="1:24" ht="13.5" customHeight="1">
      <c r="A31" s="77" t="s">
        <v>118</v>
      </c>
      <c r="B31" s="77" t="s">
        <v>130</v>
      </c>
      <c r="C31" s="77" t="str">
        <f t="shared" si="0"/>
        <v>Брянск - Суземка - Трубчевск - Навля - Брянск</v>
      </c>
      <c r="D31" s="80">
        <v>291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</row>
    <row r="32" spans="1:24" ht="13.5" customHeight="1">
      <c r="A32" s="77" t="s">
        <v>118</v>
      </c>
      <c r="B32" s="77" t="s">
        <v>131</v>
      </c>
      <c r="C32" s="77" t="str">
        <f t="shared" si="0"/>
        <v>Брянск - Суземка - Трубчевск - Навля - Комаричи - Брянск</v>
      </c>
      <c r="D32" s="80">
        <v>352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</row>
    <row r="33" spans="1:24" ht="13.5" customHeight="1">
      <c r="A33" s="82" t="s">
        <v>132</v>
      </c>
      <c r="B33" s="82" t="s">
        <v>133</v>
      </c>
      <c r="C33" s="77" t="str">
        <f t="shared" si="0"/>
        <v>Видное - Михнево - Ступино - Кашира - Видное</v>
      </c>
      <c r="D33" s="86">
        <v>201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</row>
    <row r="34" spans="1:24" ht="13.5" customHeight="1">
      <c r="A34" s="82" t="s">
        <v>132</v>
      </c>
      <c r="B34" s="82" t="s">
        <v>134</v>
      </c>
      <c r="C34" s="77" t="str">
        <f t="shared" si="0"/>
        <v>Видное - Подольск - Чехов - Серпухов - Видное</v>
      </c>
      <c r="D34" s="86">
        <v>185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</row>
    <row r="35" spans="1:24" ht="13.5" customHeight="1">
      <c r="A35" s="82" t="s">
        <v>132</v>
      </c>
      <c r="B35" s="82" t="s">
        <v>135</v>
      </c>
      <c r="C35" s="77" t="str">
        <f t="shared" si="0"/>
        <v>Видное - Серпухов - Кашира - Видное</v>
      </c>
      <c r="D35" s="86">
        <v>269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</row>
    <row r="36" spans="1:24" ht="13.5" customHeight="1">
      <c r="A36" s="82" t="s">
        <v>132</v>
      </c>
      <c r="B36" s="82" t="s">
        <v>136</v>
      </c>
      <c r="C36" s="77" t="str">
        <f t="shared" si="0"/>
        <v>Видное - Ступино - Кашира - Видное</v>
      </c>
      <c r="D36" s="86">
        <v>197</v>
      </c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</row>
    <row r="37" spans="1:24" ht="13.5" customHeight="1">
      <c r="A37" s="77" t="s">
        <v>137</v>
      </c>
      <c r="B37" s="82" t="s">
        <v>138</v>
      </c>
      <c r="C37" s="77" t="str">
        <f t="shared" si="0"/>
        <v>Владивосток - Уссурийск - Владивосток</v>
      </c>
      <c r="D37" s="83">
        <v>196</v>
      </c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</row>
    <row r="38" spans="1:24" ht="13.5" customHeight="1">
      <c r="A38" s="77" t="s">
        <v>139</v>
      </c>
      <c r="B38" s="77" t="s">
        <v>140</v>
      </c>
      <c r="C38" s="77" t="str">
        <f t="shared" si="0"/>
        <v>Владимир - Александров - Владимир</v>
      </c>
      <c r="D38" s="80">
        <v>252</v>
      </c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</row>
    <row r="39" spans="1:24" ht="13.5" customHeight="1">
      <c r="A39" s="77" t="s">
        <v>139</v>
      </c>
      <c r="B39" s="77" t="s">
        <v>141</v>
      </c>
      <c r="C39" s="77" t="str">
        <f t="shared" si="0"/>
        <v>Владимир - Александров - Балакирево - Карабаново - Струнино - Владимир</v>
      </c>
      <c r="D39" s="80">
        <v>327</v>
      </c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</row>
    <row r="40" spans="1:24" ht="13.5" customHeight="1">
      <c r="A40" s="77" t="s">
        <v>139</v>
      </c>
      <c r="B40" s="77" t="s">
        <v>142</v>
      </c>
      <c r="C40" s="77" t="str">
        <f t="shared" si="0"/>
        <v>Владимир - Гусь-Хрустальный - Владимир</v>
      </c>
      <c r="D40" s="80">
        <v>140</v>
      </c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</row>
    <row r="41" spans="1:24" ht="13.5" customHeight="1">
      <c r="A41" s="77" t="s">
        <v>139</v>
      </c>
      <c r="B41" s="77" t="s">
        <v>143</v>
      </c>
      <c r="C41" s="77" t="str">
        <f t="shared" si="0"/>
        <v>Владимир - Иваново - Владимир</v>
      </c>
      <c r="D41" s="80">
        <v>230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</row>
    <row r="42" spans="1:24" ht="13.5" customHeight="1">
      <c r="A42" s="77" t="s">
        <v>139</v>
      </c>
      <c r="B42" s="77" t="s">
        <v>144</v>
      </c>
      <c r="C42" s="77" t="str">
        <f t="shared" si="0"/>
        <v>Владимир - Киржач - Владимир</v>
      </c>
      <c r="D42" s="80">
        <v>229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</row>
    <row r="43" spans="1:24" ht="13.5" customHeight="1">
      <c r="A43" s="77" t="s">
        <v>139</v>
      </c>
      <c r="B43" s="77" t="s">
        <v>145</v>
      </c>
      <c r="C43" s="77" t="str">
        <f t="shared" si="0"/>
        <v>Владимир - Ковров - Владимир</v>
      </c>
      <c r="D43" s="80">
        <v>162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</row>
    <row r="44" spans="1:24" ht="13.5" customHeight="1">
      <c r="A44" s="77" t="s">
        <v>139</v>
      </c>
      <c r="B44" s="77" t="s">
        <v>146</v>
      </c>
      <c r="C44" s="77" t="str">
        <f t="shared" si="0"/>
        <v>Владимир - Ковров - Камешково - Владимир</v>
      </c>
      <c r="D44" s="80">
        <v>156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</row>
    <row r="45" spans="1:24" ht="13.5" customHeight="1">
      <c r="A45" s="77" t="s">
        <v>139</v>
      </c>
      <c r="B45" s="77" t="s">
        <v>147</v>
      </c>
      <c r="C45" s="77" t="str">
        <f t="shared" si="0"/>
        <v>Владимир - Муром - Владимир</v>
      </c>
      <c r="D45" s="80">
        <v>262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</row>
    <row r="46" spans="1:24" ht="13.5" customHeight="1">
      <c r="A46" s="77" t="s">
        <v>139</v>
      </c>
      <c r="B46" s="82" t="s">
        <v>148</v>
      </c>
      <c r="C46" s="77" t="str">
        <f t="shared" si="0"/>
        <v>Владимир - Юрьев - Польский - Владимир</v>
      </c>
      <c r="D46" s="80">
        <v>137</v>
      </c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</row>
    <row r="47" spans="1:24" ht="13.5" customHeight="1">
      <c r="A47" s="87" t="s">
        <v>149</v>
      </c>
      <c r="B47" s="87" t="s">
        <v>150</v>
      </c>
      <c r="C47" s="77" t="str">
        <f t="shared" si="0"/>
        <v>Волгоград - Волжский - Волгоград</v>
      </c>
      <c r="D47" s="88">
        <v>60</v>
      </c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</row>
    <row r="48" spans="1:24" ht="13.5" customHeight="1">
      <c r="A48" s="77" t="s">
        <v>151</v>
      </c>
      <c r="B48" s="82" t="s">
        <v>152</v>
      </c>
      <c r="C48" s="77" t="str">
        <f t="shared" si="0"/>
        <v>Вологда - Череповец - Вологда</v>
      </c>
      <c r="D48" s="83">
        <v>272</v>
      </c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</row>
    <row r="49" spans="1:24" ht="13.5" customHeight="1">
      <c r="A49" s="77" t="s">
        <v>151</v>
      </c>
      <c r="B49" s="77" t="s">
        <v>153</v>
      </c>
      <c r="C49" s="77" t="str">
        <f t="shared" si="0"/>
        <v>Вологда - Шексна - Череповец - Вологда</v>
      </c>
      <c r="D49" s="80">
        <v>282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</row>
    <row r="50" spans="1:24" ht="13.5" customHeight="1">
      <c r="A50" s="87" t="s">
        <v>154</v>
      </c>
      <c r="B50" s="90" t="s">
        <v>155</v>
      </c>
      <c r="C50" s="90" t="s">
        <v>156</v>
      </c>
      <c r="D50" s="80">
        <v>250</v>
      </c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</row>
    <row r="51" spans="1:24" ht="13.5" customHeight="1">
      <c r="A51" s="87" t="s">
        <v>154</v>
      </c>
      <c r="B51" s="90" t="s">
        <v>157</v>
      </c>
      <c r="C51" s="90" t="s">
        <v>158</v>
      </c>
      <c r="D51" s="91">
        <v>696</v>
      </c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</row>
    <row r="52" spans="1:24" ht="13.5" customHeight="1">
      <c r="A52" s="87" t="s">
        <v>154</v>
      </c>
      <c r="B52" s="90" t="s">
        <v>159</v>
      </c>
      <c r="C52" s="90" t="s">
        <v>160</v>
      </c>
      <c r="D52" s="91">
        <v>200</v>
      </c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</row>
    <row r="53" spans="1:24" ht="13.5" customHeight="1">
      <c r="A53" s="87" t="s">
        <v>154</v>
      </c>
      <c r="B53" s="92" t="s">
        <v>161</v>
      </c>
      <c r="C53" s="77" t="s">
        <v>162</v>
      </c>
      <c r="D53" s="91">
        <v>270</v>
      </c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</row>
    <row r="54" spans="1:24" ht="13.5" customHeight="1">
      <c r="A54" s="87" t="s">
        <v>154</v>
      </c>
      <c r="B54" s="92" t="s">
        <v>163</v>
      </c>
      <c r="C54" s="77" t="str">
        <f>CONCATENATE(A54," - ",B54," - ",A54)</f>
        <v>Воронеж - Анна - Новохопёрск - Воронеж</v>
      </c>
      <c r="D54" s="91">
        <v>438</v>
      </c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</row>
    <row r="55" spans="1:24" ht="13.5" customHeight="1">
      <c r="A55" s="87" t="s">
        <v>154</v>
      </c>
      <c r="B55" s="92" t="s">
        <v>164</v>
      </c>
      <c r="C55" s="90" t="s">
        <v>165</v>
      </c>
      <c r="D55" s="91">
        <v>550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</row>
    <row r="56" spans="1:24" ht="13.5" customHeight="1">
      <c r="A56" s="87" t="s">
        <v>154</v>
      </c>
      <c r="B56" s="92" t="s">
        <v>166</v>
      </c>
      <c r="C56" s="90" t="s">
        <v>156</v>
      </c>
      <c r="D56" s="91">
        <v>160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</row>
    <row r="57" spans="1:24" ht="13.5" customHeight="1">
      <c r="A57" s="87" t="s">
        <v>154</v>
      </c>
      <c r="B57" s="92" t="s">
        <v>167</v>
      </c>
      <c r="C57" s="90" t="s">
        <v>168</v>
      </c>
      <c r="D57" s="91">
        <v>56</v>
      </c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</row>
    <row r="58" spans="1:24" ht="13.5" customHeight="1">
      <c r="A58" s="87" t="s">
        <v>154</v>
      </c>
      <c r="B58" s="92" t="s">
        <v>169</v>
      </c>
      <c r="C58" s="90" t="s">
        <v>170</v>
      </c>
      <c r="D58" s="91">
        <v>455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</row>
    <row r="59" spans="1:24" ht="13.5" customHeight="1">
      <c r="A59" s="87" t="s">
        <v>154</v>
      </c>
      <c r="B59" s="92" t="s">
        <v>171</v>
      </c>
      <c r="C59" s="87" t="str">
        <f t="shared" ref="C59:C63" si="1">CONCATENATE(A59," - ",B59," - ",A59)</f>
        <v>Воронеж - Анна - Садовое - Новохопёрск - Воронеж</v>
      </c>
      <c r="D59" s="91">
        <v>450</v>
      </c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</row>
    <row r="60" spans="1:24" ht="13.5" customHeight="1">
      <c r="A60" s="87" t="s">
        <v>154</v>
      </c>
      <c r="B60" s="87" t="s">
        <v>172</v>
      </c>
      <c r="C60" s="87" t="str">
        <f t="shared" si="1"/>
        <v>Воронеж - Бутурлиновка - Калач - Воронеж</v>
      </c>
      <c r="D60" s="88">
        <v>458</v>
      </c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</row>
    <row r="61" spans="1:24" ht="13.5" customHeight="1">
      <c r="A61" s="87" t="s">
        <v>154</v>
      </c>
      <c r="B61" s="87" t="s">
        <v>173</v>
      </c>
      <c r="C61" s="77" t="str">
        <f t="shared" si="1"/>
        <v>Воронеж - Девица - Стрелица - Хохольский - Латная - Семилуки - Воронеж</v>
      </c>
      <c r="D61" s="88">
        <v>89</v>
      </c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</row>
    <row r="62" spans="1:24" ht="13.5" customHeight="1">
      <c r="A62" s="87" t="s">
        <v>154</v>
      </c>
      <c r="B62" s="87" t="s">
        <v>174</v>
      </c>
      <c r="C62" s="87" t="str">
        <f t="shared" si="1"/>
        <v>Воронеж - Лиски - Воронеж</v>
      </c>
      <c r="D62" s="88">
        <v>214</v>
      </c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</row>
    <row r="63" spans="1:24" ht="13.5" customHeight="1">
      <c r="A63" s="92" t="s">
        <v>154</v>
      </c>
      <c r="B63" s="92" t="s">
        <v>175</v>
      </c>
      <c r="C63" s="92" t="str">
        <f t="shared" si="1"/>
        <v>Воронеж - Нововоронеж - Воронеж</v>
      </c>
      <c r="D63" s="91">
        <v>90</v>
      </c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</row>
    <row r="64" spans="1:24" ht="13.5" customHeight="1">
      <c r="A64" s="92" t="s">
        <v>154</v>
      </c>
      <c r="B64" s="87" t="s">
        <v>176</v>
      </c>
      <c r="C64" s="92" t="s">
        <v>177</v>
      </c>
      <c r="D64" s="91">
        <v>140</v>
      </c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</row>
    <row r="65" spans="1:24" ht="13.5" customHeight="1">
      <c r="A65" s="92" t="s">
        <v>154</v>
      </c>
      <c r="B65" s="87" t="s">
        <v>178</v>
      </c>
      <c r="C65" s="92" t="str">
        <f t="shared" ref="C65:C136" si="2">CONCATENATE(A65," - ",B65," - ",A65)</f>
        <v>Воронеж - Новая Усмань - Воронеж</v>
      </c>
      <c r="D65" s="91">
        <v>32</v>
      </c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</row>
    <row r="66" spans="1:24" ht="13.5" customHeight="1">
      <c r="A66" s="92" t="s">
        <v>154</v>
      </c>
      <c r="B66" s="93" t="s">
        <v>179</v>
      </c>
      <c r="C66" s="92" t="str">
        <f t="shared" si="2"/>
        <v>Воронеж - Новая Усмань - Орлово - Воля - Воронеж</v>
      </c>
      <c r="D66" s="91">
        <v>77</v>
      </c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</row>
    <row r="67" spans="1:24" ht="13.5" customHeight="1">
      <c r="A67" s="92" t="s">
        <v>154</v>
      </c>
      <c r="B67" s="87" t="s">
        <v>180</v>
      </c>
      <c r="C67" s="92" t="str">
        <f t="shared" si="2"/>
        <v>Воронеж - Рамонь - Воронеж</v>
      </c>
      <c r="D67" s="91">
        <v>83</v>
      </c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</row>
    <row r="68" spans="1:24" ht="13.5" customHeight="1">
      <c r="A68" s="92" t="s">
        <v>154</v>
      </c>
      <c r="B68" s="87" t="s">
        <v>181</v>
      </c>
      <c r="C68" s="92" t="str">
        <f t="shared" si="2"/>
        <v>Воронеж - Солнечный - ВНИИСС - Рамонь - Новоживотинное - Ямное - Воронеж</v>
      </c>
      <c r="D68" s="91">
        <v>87</v>
      </c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</row>
    <row r="69" spans="1:24" ht="13.5" customHeight="1">
      <c r="A69" s="92" t="s">
        <v>154</v>
      </c>
      <c r="B69" s="87" t="s">
        <v>182</v>
      </c>
      <c r="C69" s="92" t="str">
        <f t="shared" si="2"/>
        <v>Воронеж - Семилуки - Хохольский - Воронеж</v>
      </c>
      <c r="D69" s="91">
        <v>91</v>
      </c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</row>
    <row r="70" spans="1:24" ht="13.5" customHeight="1">
      <c r="A70" s="92" t="s">
        <v>154</v>
      </c>
      <c r="B70" s="87" t="s">
        <v>183</v>
      </c>
      <c r="C70" s="87" t="str">
        <f t="shared" si="2"/>
        <v>Воронеж - Острогожск - Воронеж</v>
      </c>
      <c r="D70" s="91">
        <v>225</v>
      </c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</row>
    <row r="71" spans="1:24" ht="13.5" customHeight="1">
      <c r="A71" s="92" t="s">
        <v>154</v>
      </c>
      <c r="B71" s="87" t="s">
        <v>184</v>
      </c>
      <c r="C71" s="87" t="str">
        <f t="shared" si="2"/>
        <v>Воронеж - Хреновое - Таловая - Бутурлиновка - Воробьевка - Калач - Воронеж</v>
      </c>
      <c r="D71" s="91">
        <v>501</v>
      </c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</row>
    <row r="72" spans="1:24" ht="13.5" customHeight="1">
      <c r="A72" s="87" t="s">
        <v>185</v>
      </c>
      <c r="B72" s="87" t="s">
        <v>100</v>
      </c>
      <c r="C72" s="87" t="str">
        <f t="shared" si="2"/>
        <v>Егорьевск - Воскресенск - Егорьевск</v>
      </c>
      <c r="D72" s="91">
        <v>56</v>
      </c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</row>
    <row r="73" spans="1:24" ht="13.5" customHeight="1">
      <c r="A73" s="87" t="s">
        <v>185</v>
      </c>
      <c r="B73" s="87" t="s">
        <v>186</v>
      </c>
      <c r="C73" s="87" t="str">
        <f t="shared" si="2"/>
        <v>Егорьевск - Москва - Егорьевск</v>
      </c>
      <c r="D73" s="91">
        <v>250</v>
      </c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</row>
    <row r="74" spans="1:24" ht="13.5" customHeight="1">
      <c r="A74" s="87" t="s">
        <v>185</v>
      </c>
      <c r="B74" s="87" t="s">
        <v>187</v>
      </c>
      <c r="C74" s="87" t="str">
        <f t="shared" si="2"/>
        <v>Егорьевск - Ногинск - Егорьевск</v>
      </c>
      <c r="D74" s="88">
        <v>165</v>
      </c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</row>
    <row r="75" spans="1:24" ht="13.5" customHeight="1">
      <c r="A75" s="87" t="s">
        <v>185</v>
      </c>
      <c r="B75" s="87" t="s">
        <v>188</v>
      </c>
      <c r="C75" s="87" t="str">
        <f t="shared" si="2"/>
        <v>Егорьевск - Орехово-Зуево - Егорьевск</v>
      </c>
      <c r="D75" s="88">
        <v>117</v>
      </c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</row>
    <row r="76" spans="1:24" ht="13.5" customHeight="1">
      <c r="A76" s="87" t="s">
        <v>185</v>
      </c>
      <c r="B76" s="87" t="s">
        <v>189</v>
      </c>
      <c r="C76" s="87" t="str">
        <f t="shared" si="2"/>
        <v>Егорьевск - Раменское - Жуковский - Москва ЦО - Егорьевск</v>
      </c>
      <c r="D76" s="88">
        <v>248</v>
      </c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</row>
    <row r="77" spans="1:24" ht="13.5" customHeight="1">
      <c r="A77" s="87" t="s">
        <v>185</v>
      </c>
      <c r="B77" s="87" t="s">
        <v>190</v>
      </c>
      <c r="C77" s="87" t="str">
        <f t="shared" si="2"/>
        <v>Егорьевск - Раменское - Жуковский - Егорьевск</v>
      </c>
      <c r="D77" s="88">
        <v>160</v>
      </c>
      <c r="E77" s="94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</row>
    <row r="78" spans="1:24" ht="13.5" customHeight="1">
      <c r="A78" s="77" t="s">
        <v>191</v>
      </c>
      <c r="B78" s="77" t="s">
        <v>192</v>
      </c>
      <c r="C78" s="77" t="str">
        <f t="shared" si="2"/>
        <v>Екатеринбург - Асбест - Екатеринбург</v>
      </c>
      <c r="D78" s="80">
        <v>162</v>
      </c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</row>
    <row r="79" spans="1:24" ht="13.5" customHeight="1">
      <c r="A79" s="77" t="s">
        <v>191</v>
      </c>
      <c r="B79" s="77" t="s">
        <v>193</v>
      </c>
      <c r="C79" s="77" t="str">
        <f t="shared" si="2"/>
        <v>Екатеринбург - Асбест - Богданович - Екатеринбург</v>
      </c>
      <c r="D79" s="83">
        <v>235</v>
      </c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</row>
    <row r="80" spans="1:24" ht="13.5" customHeight="1">
      <c r="A80" s="77" t="s">
        <v>191</v>
      </c>
      <c r="B80" s="77" t="s">
        <v>194</v>
      </c>
      <c r="C80" s="77" t="str">
        <f t="shared" si="2"/>
        <v>Екатеринбург - Артёмовский - Буланаш - Ирбит - Туринск- Алапаевск - Екатеринбург</v>
      </c>
      <c r="D80" s="83">
        <v>604</v>
      </c>
      <c r="E80" s="84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</row>
    <row r="81" spans="1:24" ht="13.5" customHeight="1">
      <c r="A81" s="77" t="s">
        <v>191</v>
      </c>
      <c r="B81" s="77" t="s">
        <v>195</v>
      </c>
      <c r="C81" s="77" t="str">
        <f t="shared" si="2"/>
        <v>Екатеринбург - Асбест - Богданович - Белоярский - Екатеринбург</v>
      </c>
      <c r="D81" s="83">
        <v>231</v>
      </c>
      <c r="E81" s="84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</row>
    <row r="82" spans="1:24" ht="13.5" customHeight="1">
      <c r="A82" s="77" t="s">
        <v>191</v>
      </c>
      <c r="B82" s="77" t="s">
        <v>196</v>
      </c>
      <c r="C82" s="77" t="str">
        <f t="shared" si="2"/>
        <v>Екатеринбург - Артёмовский - Ирбит - Синячиха - Алапаевск - Екатеринбург</v>
      </c>
      <c r="D82" s="83">
        <v>483</v>
      </c>
      <c r="E82" s="84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</row>
    <row r="83" spans="1:24" ht="13.5" customHeight="1">
      <c r="A83" s="77" t="s">
        <v>191</v>
      </c>
      <c r="B83" s="77" t="s">
        <v>197</v>
      </c>
      <c r="C83" s="77" t="str">
        <f t="shared" si="2"/>
        <v>Екатеринбург - Артёмовский - Ирбит - Алапаевск - Екатеринбург</v>
      </c>
      <c r="D83" s="83">
        <v>477</v>
      </c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</row>
    <row r="84" spans="1:24" ht="13.5" customHeight="1">
      <c r="A84" s="77" t="s">
        <v>191</v>
      </c>
      <c r="B84" s="77" t="s">
        <v>198</v>
      </c>
      <c r="C84" s="77" t="str">
        <f t="shared" si="2"/>
        <v>Екатеринбург - Артемовский - Ирбит - В.Синячиха - Реж - Екатеринбург</v>
      </c>
      <c r="D84" s="83">
        <v>492</v>
      </c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</row>
    <row r="85" spans="1:24" ht="13.5" customHeight="1">
      <c r="A85" s="77" t="s">
        <v>191</v>
      </c>
      <c r="B85" s="77" t="s">
        <v>199</v>
      </c>
      <c r="C85" s="77" t="str">
        <f t="shared" si="2"/>
        <v>Екатеринбург - Артемовский - Ирбит -Туринск - В.Синячиха - Алапаевск - Екатеринбург</v>
      </c>
      <c r="D85" s="83">
        <v>604</v>
      </c>
      <c r="E85" s="85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</row>
    <row r="86" spans="1:24" ht="13.5" customHeight="1">
      <c r="A86" s="77" t="s">
        <v>191</v>
      </c>
      <c r="B86" s="77" t="s">
        <v>200</v>
      </c>
      <c r="C86" s="77" t="str">
        <f t="shared" si="2"/>
        <v>Екатеринбург - Артемовский - Ирбит -Туринск - Алапаевск - Екатеринбург</v>
      </c>
      <c r="D86" s="83">
        <v>604</v>
      </c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</row>
    <row r="87" spans="1:24" ht="13.5" customHeight="1">
      <c r="A87" s="77" t="s">
        <v>191</v>
      </c>
      <c r="B87" s="77" t="s">
        <v>201</v>
      </c>
      <c r="C87" s="77" t="str">
        <f t="shared" si="2"/>
        <v>Екатеринбург - Артемовский - Ирбит - Байкалово - В.Синячиха - Алапаевск - Екатеринбург</v>
      </c>
      <c r="D87" s="83">
        <v>612</v>
      </c>
      <c r="E87" s="84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</row>
    <row r="88" spans="1:24" ht="13.5" customHeight="1">
      <c r="A88" s="77" t="s">
        <v>191</v>
      </c>
      <c r="B88" s="87" t="s">
        <v>202</v>
      </c>
      <c r="C88" s="77" t="str">
        <f t="shared" si="2"/>
        <v>Екатеринбург - Бисерть - Ачит - Красноуфимск - Арти - Михайловск - Н.Серги - Екатеринбург</v>
      </c>
      <c r="D88" s="83">
        <v>450</v>
      </c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</row>
    <row r="89" spans="1:24" ht="13.5" customHeight="1">
      <c r="A89" s="77" t="s">
        <v>191</v>
      </c>
      <c r="B89" s="87" t="s">
        <v>203</v>
      </c>
      <c r="C89" s="77" t="str">
        <f t="shared" si="2"/>
        <v>Екатеринбург - Ачит - Красноуфимск - Михайловск - Н.Серги - В.Серги - Екатеринбург</v>
      </c>
      <c r="D89" s="83">
        <v>450</v>
      </c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</row>
    <row r="90" spans="1:24" ht="13.5" customHeight="1">
      <c r="A90" s="77" t="s">
        <v>191</v>
      </c>
      <c r="B90" s="87" t="s">
        <v>204</v>
      </c>
      <c r="C90" s="77" t="str">
        <f t="shared" si="2"/>
        <v>Екатеринбург - Ачит - Красноуфимск - Арти - Михайловск - Н.Серги - В.Серги - Екатеринбург</v>
      </c>
      <c r="D90" s="83">
        <v>460</v>
      </c>
      <c r="E90" s="95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</row>
    <row r="91" spans="1:24" ht="13.5" customHeight="1">
      <c r="A91" s="77" t="s">
        <v>191</v>
      </c>
      <c r="B91" s="87" t="s">
        <v>205</v>
      </c>
      <c r="C91" s="77" t="str">
        <f t="shared" si="2"/>
        <v>Екатеринбург - Бобровский - Екатеринбург</v>
      </c>
      <c r="D91" s="83">
        <v>74</v>
      </c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</row>
    <row r="92" spans="1:24" ht="13.5" customHeight="1">
      <c r="A92" s="77" t="s">
        <v>191</v>
      </c>
      <c r="B92" s="87" t="s">
        <v>206</v>
      </c>
      <c r="C92" s="77" t="str">
        <f t="shared" si="2"/>
        <v>Екатеринбург - Бобровский - Сысерть - Екатеринбург</v>
      </c>
      <c r="D92" s="83">
        <v>111</v>
      </c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</row>
    <row r="93" spans="1:24" ht="13.5" customHeight="1">
      <c r="A93" s="77" t="s">
        <v>191</v>
      </c>
      <c r="B93" s="87" t="s">
        <v>207</v>
      </c>
      <c r="C93" s="77" t="str">
        <f t="shared" si="2"/>
        <v>Екатеринбург - Бисерть - Ачит - Красноуфимск - Арти - Михайловск - Н.Серги - В.Серги - Екатеринбург</v>
      </c>
      <c r="D93" s="83">
        <v>490</v>
      </c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</row>
    <row r="94" spans="1:24" ht="13.5" customHeight="1">
      <c r="A94" s="77" t="s">
        <v>191</v>
      </c>
      <c r="B94" s="77" t="s">
        <v>208</v>
      </c>
      <c r="C94" s="77" t="str">
        <f t="shared" si="2"/>
        <v>Екатеринбург - Ачит - Красноуфимск - Михайловск - Новая Ельня - Н.Серги - В.Серги - Екатеринбург</v>
      </c>
      <c r="D94" s="83">
        <v>460</v>
      </c>
      <c r="E94" s="95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</row>
    <row r="95" spans="1:24" ht="13.5" customHeight="1">
      <c r="A95" s="77" t="s">
        <v>191</v>
      </c>
      <c r="B95" s="77" t="s">
        <v>209</v>
      </c>
      <c r="C95" s="77" t="str">
        <f t="shared" si="2"/>
        <v>Екатеринбург - Горный Щит - Бобровский - Екатеринбург</v>
      </c>
      <c r="D95" s="83">
        <v>91</v>
      </c>
      <c r="E95" s="96" t="s">
        <v>210</v>
      </c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</row>
    <row r="96" spans="1:24" ht="13.5" customHeight="1">
      <c r="A96" s="97" t="s">
        <v>191</v>
      </c>
      <c r="B96" s="77" t="s">
        <v>211</v>
      </c>
      <c r="C96" s="77" t="str">
        <f t="shared" si="2"/>
        <v>Екатеринбург - Каменск-Уральский - Екатеринбург</v>
      </c>
      <c r="D96" s="83">
        <v>199</v>
      </c>
      <c r="E96" s="84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</row>
    <row r="97" spans="1:24" ht="13.5" customHeight="1">
      <c r="A97" s="97" t="s">
        <v>191</v>
      </c>
      <c r="B97" s="77" t="s">
        <v>212</v>
      </c>
      <c r="C97" s="77" t="str">
        <f t="shared" si="2"/>
        <v>Екатеринбург - Курган - Екатеринбург</v>
      </c>
      <c r="D97" s="83">
        <v>732</v>
      </c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</row>
    <row r="98" spans="1:24" ht="13.5" customHeight="1">
      <c r="A98" s="77" t="s">
        <v>191</v>
      </c>
      <c r="B98" s="77" t="s">
        <v>213</v>
      </c>
      <c r="C98" s="77" t="str">
        <f t="shared" si="2"/>
        <v>Екатеринбург - Нижний Тагил - Екатеринбург</v>
      </c>
      <c r="D98" s="80">
        <v>282</v>
      </c>
      <c r="E98" s="98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</row>
    <row r="99" spans="1:24" ht="13.5" customHeight="1">
      <c r="A99" s="77" t="s">
        <v>191</v>
      </c>
      <c r="B99" s="97" t="s">
        <v>214</v>
      </c>
      <c r="C99" s="77" t="str">
        <f t="shared" si="2"/>
        <v>Екатеринбург - Нижний Тагил - Верхняя Салда - Екатеринбург</v>
      </c>
      <c r="D99" s="83">
        <v>357</v>
      </c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</row>
    <row r="100" spans="1:24" ht="13.5" customHeight="1">
      <c r="A100" s="97" t="s">
        <v>191</v>
      </c>
      <c r="B100" s="97" t="s">
        <v>215</v>
      </c>
      <c r="C100" s="77" t="str">
        <f t="shared" si="2"/>
        <v>Екатеринбург - Нижний Тагил - Верхняя Салда - Нижняя Салда - Екатеринбург</v>
      </c>
      <c r="D100" s="83">
        <v>380</v>
      </c>
      <c r="E100" s="85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</row>
    <row r="101" spans="1:24">
      <c r="A101" s="97" t="s">
        <v>191</v>
      </c>
      <c r="B101" s="99" t="s">
        <v>216</v>
      </c>
      <c r="C101" s="77" t="str">
        <f t="shared" si="2"/>
        <v>Екатеринбург - Нижний Тагил - Верхняя Салда - Верхняя Синячиха - Алапаевск - Артемовский - Буланаш - Екатеринбург</v>
      </c>
      <c r="D101" s="83">
        <v>491</v>
      </c>
      <c r="E101" s="95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</row>
    <row r="102" spans="1:24" ht="13.5" customHeight="1">
      <c r="A102" s="97" t="s">
        <v>191</v>
      </c>
      <c r="B102" s="97" t="s">
        <v>217</v>
      </c>
      <c r="C102" s="77" t="str">
        <f t="shared" si="2"/>
        <v>Екатеринбург - Первоуральск - Екатеринбург</v>
      </c>
      <c r="D102" s="83">
        <v>90</v>
      </c>
      <c r="E102" s="95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</row>
    <row r="103" spans="1:24" ht="13.5" customHeight="1">
      <c r="A103" s="77" t="s">
        <v>191</v>
      </c>
      <c r="B103" s="100" t="s">
        <v>218</v>
      </c>
      <c r="C103" s="77" t="str">
        <f t="shared" si="2"/>
        <v>Екатеринбург - Пермь - Екатеринбург</v>
      </c>
      <c r="D103" s="80">
        <v>722</v>
      </c>
      <c r="E103" s="85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</row>
    <row r="104" spans="1:24" ht="13.5" customHeight="1">
      <c r="A104" s="77" t="s">
        <v>191</v>
      </c>
      <c r="B104" s="100" t="s">
        <v>219</v>
      </c>
      <c r="C104" s="77" t="str">
        <f t="shared" si="2"/>
        <v>Екатеринбург - Полевской - Екатеринбург</v>
      </c>
      <c r="D104" s="80">
        <v>118</v>
      </c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</row>
    <row r="105" spans="1:24" ht="13.5" customHeight="1">
      <c r="A105" s="77" t="s">
        <v>191</v>
      </c>
      <c r="B105" s="100" t="s">
        <v>220</v>
      </c>
      <c r="C105" s="77" t="str">
        <f t="shared" si="2"/>
        <v>Екатеринбург - Ревда - Екатеринбург</v>
      </c>
      <c r="D105" s="80">
        <v>100</v>
      </c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</row>
    <row r="106" spans="1:24" ht="13.5" customHeight="1">
      <c r="A106" s="77" t="s">
        <v>191</v>
      </c>
      <c r="B106" s="100" t="s">
        <v>221</v>
      </c>
      <c r="C106" s="77" t="str">
        <f t="shared" si="2"/>
        <v>Екатеринбург - Ревда - Полевской - Екатеринбург</v>
      </c>
      <c r="D106" s="80">
        <v>175</v>
      </c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</row>
    <row r="107" spans="1:24" ht="13.5" customHeight="1">
      <c r="A107" s="77" t="s">
        <v>191</v>
      </c>
      <c r="B107" s="100" t="s">
        <v>222</v>
      </c>
      <c r="C107" s="77" t="str">
        <f t="shared" si="2"/>
        <v>Екатеринбург - Первоуральск - Билимбай - Ревда - Екатеринбург</v>
      </c>
      <c r="D107" s="80">
        <v>143</v>
      </c>
      <c r="E107" s="84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</row>
    <row r="108" spans="1:24" ht="13.5" customHeight="1">
      <c r="A108" s="77" t="s">
        <v>191</v>
      </c>
      <c r="B108" s="100" t="s">
        <v>223</v>
      </c>
      <c r="C108" s="77" t="str">
        <f t="shared" si="2"/>
        <v>Екатеринбург - Первоуральск - Билимбай - Ревда - Дегтярск - Екатеринбург</v>
      </c>
      <c r="D108" s="80">
        <v>172</v>
      </c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</row>
    <row r="109" spans="1:24" ht="13.5" customHeight="1">
      <c r="A109" s="77" t="s">
        <v>191</v>
      </c>
      <c r="B109" s="100" t="s">
        <v>224</v>
      </c>
      <c r="C109" s="77" t="str">
        <f t="shared" si="2"/>
        <v>Екатеринбург - Первоуральск - Билимбай - Дегтярск - Екатеринбург</v>
      </c>
      <c r="D109" s="80">
        <v>161</v>
      </c>
      <c r="E109" s="84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</row>
    <row r="110" spans="1:24" ht="13.5" customHeight="1">
      <c r="A110" s="77" t="s">
        <v>191</v>
      </c>
      <c r="B110" s="100" t="s">
        <v>225</v>
      </c>
      <c r="C110" s="77" t="str">
        <f t="shared" si="2"/>
        <v>Екатеринбург - Первоуральск - Билимбай - Новоуткинск - Ревда - Екатеринбург</v>
      </c>
      <c r="D110" s="80">
        <v>178</v>
      </c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</row>
    <row r="111" spans="1:24" ht="13.5" customHeight="1">
      <c r="A111" s="77" t="s">
        <v>191</v>
      </c>
      <c r="B111" s="100" t="s">
        <v>226</v>
      </c>
      <c r="C111" s="77" t="str">
        <f t="shared" si="2"/>
        <v>Екатеринбург - Первоуральск - Билимбай - Новоуткинск - Екатеринбург</v>
      </c>
      <c r="D111" s="80">
        <v>156</v>
      </c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</row>
    <row r="112" spans="1:24" ht="13.5" customHeight="1">
      <c r="A112" s="77" t="s">
        <v>191</v>
      </c>
      <c r="B112" s="100" t="s">
        <v>227</v>
      </c>
      <c r="C112" s="77" t="str">
        <f t="shared" si="2"/>
        <v>Екатеринбург - Первоуральск - Билимбай - Шаля - Екатеринбург</v>
      </c>
      <c r="D112" s="80">
        <v>333</v>
      </c>
      <c r="E112" s="84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</row>
    <row r="113" spans="1:24" ht="13.5" customHeight="1">
      <c r="A113" s="77" t="s">
        <v>191</v>
      </c>
      <c r="B113" s="100" t="s">
        <v>228</v>
      </c>
      <c r="C113" s="77" t="str">
        <f t="shared" si="2"/>
        <v>Екатеринбург - Первоуральск - Шаля - Екатеринбург</v>
      </c>
      <c r="D113" s="80">
        <v>332</v>
      </c>
      <c r="E113" s="85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</row>
    <row r="114" spans="1:24" ht="13.5" customHeight="1">
      <c r="A114" s="77" t="s">
        <v>191</v>
      </c>
      <c r="B114" s="100" t="s">
        <v>229</v>
      </c>
      <c r="C114" s="77" t="str">
        <f t="shared" si="2"/>
        <v>Екатеринбург - Реж - Екатеринбург</v>
      </c>
      <c r="D114" s="80">
        <v>166</v>
      </c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</row>
    <row r="115" spans="1:24" ht="13.5" customHeight="1">
      <c r="A115" s="97" t="s">
        <v>191</v>
      </c>
      <c r="B115" s="100" t="s">
        <v>230</v>
      </c>
      <c r="C115" s="77" t="str">
        <f t="shared" si="2"/>
        <v>Екатеринбург - Реж - Алапаевск - Верхняя Синячиха - Артемовский - Екатеринбург</v>
      </c>
      <c r="D115" s="83">
        <v>370</v>
      </c>
      <c r="E115" s="84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</row>
    <row r="116" spans="1:24" ht="13.5" customHeight="1">
      <c r="A116" s="97" t="s">
        <v>191</v>
      </c>
      <c r="B116" s="100" t="s">
        <v>231</v>
      </c>
      <c r="C116" s="77" t="str">
        <f t="shared" si="2"/>
        <v>Екатеринбург - Реж - Алапаевск - Верхняя Синячиха - Артемовский - Буланаш - Екатеринбург</v>
      </c>
      <c r="D116" s="83">
        <v>395</v>
      </c>
      <c r="E116" s="84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</row>
    <row r="117" spans="1:24" ht="13.5" customHeight="1">
      <c r="A117" s="97" t="s">
        <v>191</v>
      </c>
      <c r="B117" s="100" t="s">
        <v>232</v>
      </c>
      <c r="C117" s="77" t="str">
        <f t="shared" si="2"/>
        <v>Екатеринбург - Самара - Саратов - Екатеринбург</v>
      </c>
      <c r="D117" s="83">
        <v>2827</v>
      </c>
      <c r="E117" s="84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</row>
    <row r="118" spans="1:24" ht="13.5" customHeight="1">
      <c r="A118" s="97" t="s">
        <v>191</v>
      </c>
      <c r="B118" s="77" t="s">
        <v>233</v>
      </c>
      <c r="C118" s="77" t="str">
        <f t="shared" si="2"/>
        <v>Екатеринбург - Сысерть - Екатеринбург</v>
      </c>
      <c r="D118" s="83">
        <v>94</v>
      </c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</row>
    <row r="119" spans="1:24" ht="13.5" customHeight="1">
      <c r="A119" s="97" t="s">
        <v>191</v>
      </c>
      <c r="B119" s="77" t="s">
        <v>234</v>
      </c>
      <c r="C119" s="77" t="str">
        <f t="shared" si="2"/>
        <v>Екатеринбург - Сысерть - Арамиль - Екатеринбург</v>
      </c>
      <c r="D119" s="83">
        <v>98</v>
      </c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</row>
    <row r="120" spans="1:24" ht="13.5" customHeight="1">
      <c r="A120" s="97" t="s">
        <v>191</v>
      </c>
      <c r="B120" s="77" t="s">
        <v>235</v>
      </c>
      <c r="C120" s="77" t="str">
        <f t="shared" si="2"/>
        <v>Екатеринбург - Тюмень - Екатеринбург</v>
      </c>
      <c r="D120" s="83">
        <v>650</v>
      </c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</row>
    <row r="121" spans="1:24" ht="13.5" customHeight="1">
      <c r="A121" s="97" t="s">
        <v>191</v>
      </c>
      <c r="B121" s="100" t="s">
        <v>236</v>
      </c>
      <c r="C121" s="77" t="str">
        <f t="shared" si="2"/>
        <v>Екатеринбург - Уфа - Екатеринбург</v>
      </c>
      <c r="D121" s="83">
        <v>1088</v>
      </c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</row>
    <row r="122" spans="1:24" ht="13.5" customHeight="1">
      <c r="A122" s="97" t="s">
        <v>191</v>
      </c>
      <c r="B122" s="101" t="s">
        <v>237</v>
      </c>
      <c r="C122" s="77" t="str">
        <f t="shared" si="2"/>
        <v>Екатеринбург - Уфа - Казань - Ижевск - Пермь - Екатеринбург</v>
      </c>
      <c r="D122" s="83">
        <v>2075</v>
      </c>
      <c r="E122" s="84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</row>
    <row r="123" spans="1:24" ht="13.5" customHeight="1">
      <c r="A123" s="97" t="s">
        <v>191</v>
      </c>
      <c r="B123" s="82" t="s">
        <v>238</v>
      </c>
      <c r="C123" s="77" t="str">
        <f t="shared" si="2"/>
        <v>Екатеринбург - Уфа - Оренбург - Екатеринбург</v>
      </c>
      <c r="D123" s="83">
        <v>1815</v>
      </c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</row>
    <row r="124" spans="1:24" ht="13.5" customHeight="1">
      <c r="A124" s="97" t="s">
        <v>191</v>
      </c>
      <c r="B124" s="82" t="s">
        <v>239</v>
      </c>
      <c r="C124" s="77" t="str">
        <f t="shared" si="2"/>
        <v>Екатеринбург - Уфа - Самара - Пенза - Екатеринбург</v>
      </c>
      <c r="D124" s="83">
        <v>2787</v>
      </c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</row>
    <row r="125" spans="1:24" ht="13.5" customHeight="1">
      <c r="A125" s="97" t="s">
        <v>191</v>
      </c>
      <c r="B125" s="77" t="s">
        <v>240</v>
      </c>
      <c r="C125" s="77" t="str">
        <f t="shared" si="2"/>
        <v>Екатеринбург - Челябинск - Екатеринбург</v>
      </c>
      <c r="D125" s="83">
        <v>409</v>
      </c>
      <c r="E125" s="84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</row>
    <row r="126" spans="1:24" ht="13.5" customHeight="1">
      <c r="A126" s="97" t="s">
        <v>191</v>
      </c>
      <c r="B126" s="77" t="s">
        <v>240</v>
      </c>
      <c r="C126" s="77" t="str">
        <f t="shared" si="2"/>
        <v>Екатеринбург - Челябинск - Екатеринбург</v>
      </c>
      <c r="D126" s="83">
        <v>412</v>
      </c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</row>
    <row r="127" spans="1:24" ht="13.5" customHeight="1">
      <c r="A127" s="97" t="s">
        <v>191</v>
      </c>
      <c r="B127" s="82" t="s">
        <v>241</v>
      </c>
      <c r="C127" s="77" t="str">
        <f t="shared" si="2"/>
        <v>Екатеринбург - Челябинск - Златоуст - Екатеринбург</v>
      </c>
      <c r="D127" s="83">
        <v>611</v>
      </c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</row>
    <row r="128" spans="1:24" ht="13.5" customHeight="1">
      <c r="A128" s="97" t="s">
        <v>191</v>
      </c>
      <c r="B128" s="100" t="s">
        <v>242</v>
      </c>
      <c r="C128" s="77" t="str">
        <f t="shared" si="2"/>
        <v>Екатеринбург - Челябинск - Златоуст - Миасс - Екатеринбург</v>
      </c>
      <c r="D128" s="83">
        <v>622</v>
      </c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</row>
    <row r="129" spans="1:24" ht="13.5" customHeight="1">
      <c r="A129" s="97" t="s">
        <v>191</v>
      </c>
      <c r="B129" s="77" t="s">
        <v>243</v>
      </c>
      <c r="C129" s="77" t="str">
        <f t="shared" si="2"/>
        <v>Екатеринбург - Шаля - Екатеринбург</v>
      </c>
      <c r="D129" s="80">
        <v>332</v>
      </c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</row>
    <row r="130" spans="1:24" ht="13.5" customHeight="1">
      <c r="A130" s="97" t="s">
        <v>191</v>
      </c>
      <c r="B130" s="77" t="s">
        <v>244</v>
      </c>
      <c r="C130" s="77" t="str">
        <f t="shared" si="2"/>
        <v>Екатеринбург - Большое Седельниково-Первомайский-Октябрьский-Кашино-Сысерть-Щелкун-Бобровский - Екатеринбург</v>
      </c>
      <c r="D130" s="86">
        <v>194</v>
      </c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</row>
    <row r="131" spans="1:24" ht="13.5" customHeight="1">
      <c r="A131" s="77" t="s">
        <v>245</v>
      </c>
      <c r="B131" s="77" t="s">
        <v>246</v>
      </c>
      <c r="C131" s="77" t="str">
        <f t="shared" si="2"/>
        <v>Ессентуки - Георгиевск - Георгиевская - Александрийская - Краснокумскоес - Обильное - Зеленокумск - Ессентуки</v>
      </c>
      <c r="D131" s="80">
        <v>268</v>
      </c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</row>
    <row r="132" spans="1:24" ht="13.5" customHeight="1">
      <c r="A132" s="77" t="s">
        <v>245</v>
      </c>
      <c r="B132" s="77" t="s">
        <v>247</v>
      </c>
      <c r="C132" s="77" t="str">
        <f t="shared" si="2"/>
        <v>Ессентуки - Винсады - Лермонтов - Железноводск - Иноземцево - Ессентуки</v>
      </c>
      <c r="D132" s="80">
        <v>78</v>
      </c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</row>
    <row r="133" spans="1:24" ht="13.5" customHeight="1">
      <c r="A133" s="77" t="s">
        <v>245</v>
      </c>
      <c r="B133" s="77" t="s">
        <v>248</v>
      </c>
      <c r="C133" s="77" t="str">
        <f t="shared" si="2"/>
        <v>Ессентуки - Минеральные воды - Ессентуки</v>
      </c>
      <c r="D133" s="80">
        <v>80</v>
      </c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</row>
    <row r="134" spans="1:24" ht="13.5" customHeight="1">
      <c r="A134" s="77" t="s">
        <v>245</v>
      </c>
      <c r="B134" s="77" t="s">
        <v>249</v>
      </c>
      <c r="C134" s="77" t="str">
        <f t="shared" si="2"/>
        <v>Ессентуки - Кисловодск - Ессентуки</v>
      </c>
      <c r="D134" s="80">
        <v>43</v>
      </c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</row>
    <row r="135" spans="1:24" ht="23.25" customHeight="1">
      <c r="A135" s="77" t="s">
        <v>245</v>
      </c>
      <c r="B135" s="77" t="s">
        <v>250</v>
      </c>
      <c r="C135" s="77" t="str">
        <f t="shared" si="2"/>
        <v>Ессентуки - Пятигорск -  Горячеводский - Ессентуки</v>
      </c>
      <c r="D135" s="80">
        <v>45</v>
      </c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</row>
    <row r="136" spans="1:24" ht="13.5" customHeight="1">
      <c r="A136" s="77" t="s">
        <v>245</v>
      </c>
      <c r="B136" s="81" t="s">
        <v>251</v>
      </c>
      <c r="C136" s="77" t="str">
        <f t="shared" si="2"/>
        <v>Ессентуки - Минеральные воды - Красный пахарь - Побегайловка - Анджиевский - Левокумка - Новотерский - Змейка - Пятигорский - Ессентуки</v>
      </c>
      <c r="D136" s="80">
        <v>163</v>
      </c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</row>
    <row r="137" spans="1:24" ht="13.5" customHeight="1">
      <c r="A137" s="77" t="s">
        <v>245</v>
      </c>
      <c r="B137" s="77"/>
      <c r="C137" s="77"/>
      <c r="D137" s="80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</row>
    <row r="138" spans="1:24" ht="13.5" customHeight="1">
      <c r="A138" s="77" t="s">
        <v>245</v>
      </c>
      <c r="B138" s="77"/>
      <c r="C138" s="77"/>
      <c r="D138" s="80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</row>
    <row r="139" spans="1:24" ht="13.5" customHeight="1">
      <c r="A139" s="77" t="s">
        <v>245</v>
      </c>
      <c r="B139" s="77"/>
      <c r="C139" s="77"/>
      <c r="D139" s="80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</row>
    <row r="140" spans="1:24" ht="13.5" customHeight="1">
      <c r="A140" s="97" t="s">
        <v>245</v>
      </c>
      <c r="B140" s="102" t="s">
        <v>252</v>
      </c>
      <c r="C140" s="77" t="s">
        <v>253</v>
      </c>
      <c r="D140" s="103">
        <v>194</v>
      </c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</row>
    <row r="141" spans="1:24" ht="13.5" customHeight="1">
      <c r="A141" s="77" t="s">
        <v>254</v>
      </c>
      <c r="B141" s="77" t="s">
        <v>255</v>
      </c>
      <c r="C141" s="77" t="str">
        <f t="shared" ref="C141:C149" si="3">CONCATENATE(A141," - ",B141," - ",A141)</f>
        <v>Ижевск - Агрыз - Ижевск</v>
      </c>
      <c r="D141" s="80">
        <v>89</v>
      </c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</row>
    <row r="142" spans="1:24" ht="13.5" customHeight="1">
      <c r="A142" s="77" t="s">
        <v>254</v>
      </c>
      <c r="B142" s="77" t="s">
        <v>256</v>
      </c>
      <c r="C142" s="77" t="str">
        <f t="shared" si="3"/>
        <v>Ижевск - Воткинск - Ижевск</v>
      </c>
      <c r="D142" s="80">
        <v>108</v>
      </c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</row>
    <row r="143" spans="1:24" ht="13.5" customHeight="1">
      <c r="A143" s="77" t="s">
        <v>254</v>
      </c>
      <c r="B143" s="82" t="s">
        <v>257</v>
      </c>
      <c r="C143" s="77" t="str">
        <f t="shared" si="3"/>
        <v>Ижевск - Глазов - Ижевск</v>
      </c>
      <c r="D143" s="83">
        <v>347</v>
      </c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</row>
    <row r="144" spans="1:24" ht="13.5" customHeight="1">
      <c r="A144" s="82" t="s">
        <v>254</v>
      </c>
      <c r="B144" s="82" t="s">
        <v>258</v>
      </c>
      <c r="C144" s="77" t="str">
        <f t="shared" si="3"/>
        <v>Ижевск - Глазов - Красногорское - Ижевск</v>
      </c>
      <c r="D144" s="83">
        <v>370</v>
      </c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</row>
    <row r="145" spans="1:24" ht="13.5" customHeight="1">
      <c r="A145" s="82" t="s">
        <v>254</v>
      </c>
      <c r="B145" s="104" t="s">
        <v>259</v>
      </c>
      <c r="C145" s="77" t="str">
        <f t="shared" si="3"/>
        <v>Ижевск - Игра - Дебёсы - Балезино - Глазов - Красногорское - Ижевск</v>
      </c>
      <c r="D145" s="83">
        <v>476</v>
      </c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</row>
    <row r="146" spans="1:24" ht="13.5" customHeight="1">
      <c r="A146" s="82" t="s">
        <v>254</v>
      </c>
      <c r="B146" s="82" t="s">
        <v>260</v>
      </c>
      <c r="C146" s="77" t="str">
        <f t="shared" si="3"/>
        <v>Ижевск - Можга - Алнаши - Ижевск</v>
      </c>
      <c r="D146" s="83">
        <v>237</v>
      </c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</row>
    <row r="147" spans="1:24" ht="13.5" customHeight="1">
      <c r="A147" s="82" t="s">
        <v>254</v>
      </c>
      <c r="B147" s="82" t="s">
        <v>261</v>
      </c>
      <c r="C147" s="77" t="str">
        <f t="shared" si="3"/>
        <v>Ижевск - Сарапул - Ижевск</v>
      </c>
      <c r="D147" s="83">
        <v>134</v>
      </c>
      <c r="E147" s="84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</row>
    <row r="148" spans="1:24" ht="13.5" customHeight="1">
      <c r="A148" s="77" t="s">
        <v>254</v>
      </c>
      <c r="B148" s="77" t="s">
        <v>262</v>
      </c>
      <c r="C148" s="77" t="str">
        <f t="shared" si="3"/>
        <v>Ижевск - Чебоксары - Ижевск</v>
      </c>
      <c r="D148" s="105">
        <v>1057</v>
      </c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</row>
    <row r="149" spans="1:24" ht="13.5" customHeight="1">
      <c r="A149" s="77" t="s">
        <v>263</v>
      </c>
      <c r="B149" s="77" t="s">
        <v>264</v>
      </c>
      <c r="C149" s="77" t="str">
        <f t="shared" si="3"/>
        <v>Иркутск - Ангарск - Иркутск</v>
      </c>
      <c r="D149" s="80">
        <v>94</v>
      </c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</row>
    <row r="150" spans="1:24" ht="13.5" customHeight="1">
      <c r="A150" s="77" t="s">
        <v>263</v>
      </c>
      <c r="B150" s="106" t="s">
        <v>265</v>
      </c>
      <c r="C150" s="106" t="s">
        <v>40</v>
      </c>
      <c r="D150" s="80">
        <v>66</v>
      </c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</row>
    <row r="151" spans="1:24" ht="13.5" customHeight="1">
      <c r="A151" s="77" t="s">
        <v>263</v>
      </c>
      <c r="B151" s="77" t="s">
        <v>266</v>
      </c>
      <c r="C151" s="77" t="str">
        <f t="shared" ref="C151:C183" si="4">CONCATENATE(A151," - ",B151," - ",A151)</f>
        <v>Иркутск - Ангарск - Усолье-Сибирское - Иркутск</v>
      </c>
      <c r="D151" s="80">
        <v>156</v>
      </c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</row>
    <row r="152" spans="1:24" ht="13.5" customHeight="1">
      <c r="A152" s="77" t="s">
        <v>263</v>
      </c>
      <c r="B152" s="77" t="s">
        <v>267</v>
      </c>
      <c r="C152" s="77" t="str">
        <f t="shared" si="4"/>
        <v>Иркутск - Ангарск - Черемхово - Иркутск</v>
      </c>
      <c r="D152" s="80">
        <v>290</v>
      </c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</row>
    <row r="153" spans="1:24" ht="13.5" customHeight="1">
      <c r="A153" s="77" t="s">
        <v>263</v>
      </c>
      <c r="B153" s="77" t="s">
        <v>268</v>
      </c>
      <c r="C153" s="77" t="str">
        <f t="shared" si="4"/>
        <v>Иркутск - Усолье-Сибирское - Черемхово - Иркутск</v>
      </c>
      <c r="D153" s="80">
        <v>292</v>
      </c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</row>
    <row r="154" spans="1:24" ht="13.5" customHeight="1">
      <c r="A154" s="77" t="s">
        <v>263</v>
      </c>
      <c r="B154" s="82" t="s">
        <v>269</v>
      </c>
      <c r="C154" s="77" t="str">
        <f t="shared" si="4"/>
        <v>Иркутск - Зима - Саянск - Иркутск</v>
      </c>
      <c r="D154" s="86">
        <v>580</v>
      </c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</row>
    <row r="155" spans="1:24" ht="13.5" customHeight="1">
      <c r="A155" s="77" t="s">
        <v>263</v>
      </c>
      <c r="B155" s="82" t="s">
        <v>270</v>
      </c>
      <c r="C155" s="77" t="str">
        <f t="shared" si="4"/>
        <v>Иркутск - Шелехов - Иркутск</v>
      </c>
      <c r="D155" s="105">
        <v>38</v>
      </c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</row>
    <row r="156" spans="1:24" ht="13.5" customHeight="1">
      <c r="A156" s="97" t="s">
        <v>271</v>
      </c>
      <c r="B156" s="82" t="s">
        <v>254</v>
      </c>
      <c r="C156" s="77" t="str">
        <f t="shared" si="4"/>
        <v>Казань - Ижевск - Казань</v>
      </c>
      <c r="D156" s="86">
        <v>729</v>
      </c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</row>
    <row r="157" spans="1:24" ht="13.5" customHeight="1">
      <c r="A157" s="97" t="s">
        <v>271</v>
      </c>
      <c r="B157" s="82" t="s">
        <v>272</v>
      </c>
      <c r="C157" s="77" t="str">
        <f t="shared" si="4"/>
        <v>Казань - Ижевск - Набережные Челны - Казань</v>
      </c>
      <c r="D157" s="86">
        <v>789</v>
      </c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</row>
    <row r="158" spans="1:24" ht="13.5" customHeight="1">
      <c r="A158" s="97" t="s">
        <v>271</v>
      </c>
      <c r="B158" s="82" t="s">
        <v>273</v>
      </c>
      <c r="C158" s="77" t="str">
        <f t="shared" si="4"/>
        <v>Казань - Киров - Казань</v>
      </c>
      <c r="D158" s="86">
        <v>826</v>
      </c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</row>
    <row r="159" spans="1:24" ht="13.5" customHeight="1">
      <c r="A159" s="97" t="s">
        <v>271</v>
      </c>
      <c r="B159" s="77" t="s">
        <v>274</v>
      </c>
      <c r="C159" s="77" t="str">
        <f t="shared" si="4"/>
        <v>Казань - Набережные Челны - Казань</v>
      </c>
      <c r="D159" s="83">
        <v>480</v>
      </c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</row>
    <row r="160" spans="1:24" ht="13.5" customHeight="1">
      <c r="A160" s="97" t="s">
        <v>271</v>
      </c>
      <c r="B160" s="82" t="s">
        <v>275</v>
      </c>
      <c r="C160" s="77" t="str">
        <f t="shared" si="4"/>
        <v>Казань - Нижний Новгород - Казань</v>
      </c>
      <c r="D160" s="83">
        <v>789</v>
      </c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</row>
    <row r="161" spans="1:24" ht="13.5" customHeight="1">
      <c r="A161" s="97" t="s">
        <v>271</v>
      </c>
      <c r="B161" s="77" t="s">
        <v>276</v>
      </c>
      <c r="C161" s="77" t="str">
        <f t="shared" si="4"/>
        <v>Казань - Самара - Казань</v>
      </c>
      <c r="D161" s="103">
        <v>717</v>
      </c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</row>
    <row r="162" spans="1:24" ht="13.5" customHeight="1">
      <c r="A162" s="97" t="s">
        <v>271</v>
      </c>
      <c r="B162" s="77" t="s">
        <v>277</v>
      </c>
      <c r="C162" s="77" t="str">
        <f t="shared" si="4"/>
        <v>Казань - Саранск - Казань</v>
      </c>
      <c r="D162" s="103">
        <v>891</v>
      </c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</row>
    <row r="163" spans="1:24" ht="13.5" customHeight="1">
      <c r="A163" s="97" t="s">
        <v>271</v>
      </c>
      <c r="B163" s="77" t="s">
        <v>278</v>
      </c>
      <c r="C163" s="77" t="str">
        <f t="shared" si="4"/>
        <v>Казань - Саратов - Казань</v>
      </c>
      <c r="D163" s="83">
        <v>1338</v>
      </c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</row>
    <row r="164" spans="1:24" ht="13.5" customHeight="1">
      <c r="A164" s="97" t="s">
        <v>271</v>
      </c>
      <c r="B164" s="77" t="s">
        <v>262</v>
      </c>
      <c r="C164" s="77" t="str">
        <f t="shared" si="4"/>
        <v>Казань - Чебоксары - Казань</v>
      </c>
      <c r="D164" s="83">
        <v>319</v>
      </c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</row>
    <row r="165" spans="1:24" ht="13.5" customHeight="1">
      <c r="A165" s="97" t="s">
        <v>271</v>
      </c>
      <c r="B165" s="77" t="s">
        <v>279</v>
      </c>
      <c r="C165" s="77" t="str">
        <f t="shared" si="4"/>
        <v>Казань - Чебоксары - Н.Новгород - Казань</v>
      </c>
      <c r="D165" s="83">
        <v>797</v>
      </c>
      <c r="E165" s="84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</row>
    <row r="166" spans="1:24" ht="13.5" customHeight="1">
      <c r="A166" s="97" t="s">
        <v>280</v>
      </c>
      <c r="B166" s="97" t="s">
        <v>281</v>
      </c>
      <c r="C166" s="77" t="str">
        <f t="shared" si="4"/>
        <v>Калининград - Балтийск - Калининград</v>
      </c>
      <c r="D166" s="83">
        <v>98</v>
      </c>
      <c r="E166" s="95" t="s">
        <v>282</v>
      </c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</row>
    <row r="167" spans="1:24" ht="13.5" customHeight="1">
      <c r="A167" s="97" t="s">
        <v>280</v>
      </c>
      <c r="B167" s="97" t="s">
        <v>283</v>
      </c>
      <c r="C167" s="77" t="str">
        <f t="shared" si="4"/>
        <v>Калининград - Гусев - Калининград</v>
      </c>
      <c r="D167" s="83">
        <v>230</v>
      </c>
      <c r="E167" s="84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</row>
    <row r="168" spans="1:24" ht="13.5" customHeight="1">
      <c r="A168" s="97" t="s">
        <v>280</v>
      </c>
      <c r="B168" s="100" t="s">
        <v>284</v>
      </c>
      <c r="C168" s="77" t="str">
        <f t="shared" si="4"/>
        <v>Калининград - Светлогорск - Калининград</v>
      </c>
      <c r="D168" s="83">
        <v>104</v>
      </c>
      <c r="E168" s="9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</row>
    <row r="169" spans="1:24" ht="13.5" customHeight="1">
      <c r="A169" s="97" t="s">
        <v>280</v>
      </c>
      <c r="B169" s="100" t="s">
        <v>285</v>
      </c>
      <c r="C169" s="77" t="str">
        <f t="shared" si="4"/>
        <v>Калининград - Светлогорск - Зеленоградск - Калининград</v>
      </c>
      <c r="D169" s="83">
        <v>114</v>
      </c>
      <c r="E169" s="9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</row>
    <row r="170" spans="1:24" ht="13.5" customHeight="1">
      <c r="A170" s="97" t="s">
        <v>280</v>
      </c>
      <c r="B170" s="107" t="s">
        <v>286</v>
      </c>
      <c r="C170" s="77" t="str">
        <f t="shared" si="4"/>
        <v>Калининград - Светлогорск - Пионерский - Зеленоградск - Калининград</v>
      </c>
      <c r="D170" s="103">
        <v>115</v>
      </c>
      <c r="E170" s="9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</row>
    <row r="171" spans="1:24" ht="13.5" customHeight="1">
      <c r="A171" s="97" t="s">
        <v>280</v>
      </c>
      <c r="B171" s="107" t="s">
        <v>287</v>
      </c>
      <c r="C171" s="77" t="str">
        <f t="shared" si="4"/>
        <v>Калининград - Светлогорск - Пионерский - Калининград</v>
      </c>
      <c r="D171" s="103">
        <v>105</v>
      </c>
      <c r="E171" s="85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</row>
    <row r="172" spans="1:24" ht="13.5" customHeight="1">
      <c r="A172" s="97" t="s">
        <v>280</v>
      </c>
      <c r="B172" s="97" t="s">
        <v>288</v>
      </c>
      <c r="C172" s="77" t="str">
        <f t="shared" si="4"/>
        <v>Калининград - Светлый  - Калининград</v>
      </c>
      <c r="D172" s="83">
        <v>56</v>
      </c>
      <c r="E172" s="85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</row>
    <row r="173" spans="1:24" ht="13.5" customHeight="1">
      <c r="A173" s="97" t="s">
        <v>280</v>
      </c>
      <c r="B173" s="107" t="s">
        <v>289</v>
      </c>
      <c r="C173" s="77" t="str">
        <f t="shared" si="4"/>
        <v>Калининград - Светлый - Балтийск - Калининград</v>
      </c>
      <c r="D173" s="103">
        <v>110</v>
      </c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</row>
    <row r="174" spans="1:24" ht="13.5" customHeight="1">
      <c r="A174" s="97" t="s">
        <v>280</v>
      </c>
      <c r="B174" s="97" t="s">
        <v>290</v>
      </c>
      <c r="C174" s="77" t="str">
        <f t="shared" si="4"/>
        <v>Калининград - Советск - Калининград</v>
      </c>
      <c r="D174" s="83">
        <v>234</v>
      </c>
      <c r="E174" s="108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</row>
    <row r="175" spans="1:24" ht="13.5" customHeight="1">
      <c r="A175" s="97" t="s">
        <v>280</v>
      </c>
      <c r="B175" s="97" t="s">
        <v>291</v>
      </c>
      <c r="C175" s="77" t="str">
        <f t="shared" si="4"/>
        <v>Калининград - Советск - Неман - Калининград</v>
      </c>
      <c r="D175" s="83">
        <v>250</v>
      </c>
      <c r="E175" s="84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</row>
    <row r="176" spans="1:24" ht="13.5" customHeight="1">
      <c r="A176" s="97" t="s">
        <v>280</v>
      </c>
      <c r="B176" s="97" t="s">
        <v>292</v>
      </c>
      <c r="C176" s="77" t="str">
        <f t="shared" si="4"/>
        <v>Калининград - Славск - Советск - Неман - Калининград</v>
      </c>
      <c r="D176" s="83">
        <v>265</v>
      </c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</row>
    <row r="177" spans="1:24" ht="13.5" customHeight="1">
      <c r="A177" s="77" t="s">
        <v>280</v>
      </c>
      <c r="B177" s="109" t="s">
        <v>293</v>
      </c>
      <c r="C177" s="77" t="str">
        <f t="shared" si="4"/>
        <v>Калининград - Черняховск - Калининград</v>
      </c>
      <c r="D177" s="83">
        <v>176</v>
      </c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</row>
    <row r="178" spans="1:24" ht="13.5" customHeight="1">
      <c r="A178" s="77" t="s">
        <v>280</v>
      </c>
      <c r="B178" s="104" t="s">
        <v>294</v>
      </c>
      <c r="C178" s="77" t="str">
        <f t="shared" si="4"/>
        <v>Калининград - Гвардейск - Черняховск - Гусев - Калининград</v>
      </c>
      <c r="D178" s="103">
        <v>231</v>
      </c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</row>
    <row r="179" spans="1:24" ht="13.5" customHeight="1">
      <c r="A179" s="77" t="s">
        <v>295</v>
      </c>
      <c r="B179" s="110" t="s">
        <v>296</v>
      </c>
      <c r="C179" s="77" t="str">
        <f t="shared" si="4"/>
        <v>Калуга - Балабаново - Калуга</v>
      </c>
      <c r="D179" s="83">
        <v>175</v>
      </c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</row>
    <row r="180" spans="1:24" ht="13.5" customHeight="1">
      <c r="A180" s="77" t="s">
        <v>295</v>
      </c>
      <c r="B180" s="104" t="s">
        <v>297</v>
      </c>
      <c r="C180" s="77" t="str">
        <f t="shared" si="4"/>
        <v>Калуга - Боровск - Балабаново - Калуга</v>
      </c>
      <c r="D180" s="83">
        <v>193</v>
      </c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</row>
    <row r="181" spans="1:24" ht="13.5" customHeight="1">
      <c r="A181" s="77" t="s">
        <v>295</v>
      </c>
      <c r="B181" s="104" t="s">
        <v>298</v>
      </c>
      <c r="C181" s="77" t="str">
        <f t="shared" si="4"/>
        <v>Калуга - Тула - Калуга</v>
      </c>
      <c r="D181" s="83">
        <v>210</v>
      </c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</row>
    <row r="182" spans="1:24" ht="13.5" customHeight="1">
      <c r="A182" s="77" t="s">
        <v>295</v>
      </c>
      <c r="B182" s="107" t="s">
        <v>299</v>
      </c>
      <c r="C182" s="77" t="str">
        <f t="shared" si="4"/>
        <v>Калуга - Малоярославец - Калуга</v>
      </c>
      <c r="D182" s="103">
        <v>129</v>
      </c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</row>
    <row r="183" spans="1:24" ht="13.5" customHeight="1">
      <c r="A183" s="97" t="s">
        <v>295</v>
      </c>
      <c r="B183" s="107" t="s">
        <v>300</v>
      </c>
      <c r="C183" s="77" t="str">
        <f t="shared" si="4"/>
        <v>Калуга - Обнинск - Калуга</v>
      </c>
      <c r="D183" s="103">
        <v>314</v>
      </c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</row>
    <row r="184" spans="1:24" ht="13.5" customHeight="1">
      <c r="A184" s="82"/>
      <c r="B184" s="104"/>
      <c r="C184" s="111"/>
      <c r="D184" s="83"/>
      <c r="E184" s="112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</row>
    <row r="185" spans="1:24" ht="13.5" customHeight="1">
      <c r="A185" s="82" t="s">
        <v>301</v>
      </c>
      <c r="B185" s="104" t="s">
        <v>302</v>
      </c>
      <c r="C185" s="111" t="s">
        <v>52</v>
      </c>
      <c r="D185" s="83">
        <v>295</v>
      </c>
      <c r="E185" s="112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</row>
    <row r="186" spans="1:24" ht="13.5" customHeight="1">
      <c r="A186" s="82" t="s">
        <v>301</v>
      </c>
      <c r="B186" s="104" t="s">
        <v>303</v>
      </c>
      <c r="C186" s="77" t="str">
        <f t="shared" ref="C186:C195" si="5">CONCATENATE(A186," - ",B186," - ",A186)</f>
        <v>Кемерово - Ленинск-Кузнецкий - Кемерово</v>
      </c>
      <c r="D186" s="83">
        <v>180</v>
      </c>
      <c r="E186" s="85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</row>
    <row r="187" spans="1:24" ht="13.5" customHeight="1">
      <c r="A187" s="82" t="s">
        <v>301</v>
      </c>
      <c r="B187" s="104" t="s">
        <v>55</v>
      </c>
      <c r="C187" s="77" t="str">
        <f t="shared" si="5"/>
        <v>Кемерово - Белово - Кемерово</v>
      </c>
      <c r="D187" s="86">
        <v>244</v>
      </c>
      <c r="E187" s="85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</row>
    <row r="188" spans="1:24" ht="13.5" customHeight="1">
      <c r="A188" s="82" t="s">
        <v>301</v>
      </c>
      <c r="B188" s="82" t="s">
        <v>304</v>
      </c>
      <c r="C188" s="77" t="str">
        <f t="shared" si="5"/>
        <v>Кемерово - Анжеро-Судженск - Кемерово</v>
      </c>
      <c r="D188" s="86">
        <v>197</v>
      </c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</row>
    <row r="189" spans="1:24" ht="13.5" customHeight="1">
      <c r="A189" s="77" t="s">
        <v>273</v>
      </c>
      <c r="B189" s="82" t="s">
        <v>305</v>
      </c>
      <c r="C189" s="77" t="str">
        <f t="shared" si="5"/>
        <v>Киров - Котельнич - Киров</v>
      </c>
      <c r="D189" s="86">
        <v>242</v>
      </c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</row>
    <row r="190" spans="1:24" ht="13.5" customHeight="1">
      <c r="A190" s="77" t="s">
        <v>273</v>
      </c>
      <c r="B190" s="104" t="s">
        <v>306</v>
      </c>
      <c r="C190" s="77" t="str">
        <f t="shared" si="5"/>
        <v>Киров - Котельнич - Орлов - Киров</v>
      </c>
      <c r="D190" s="105">
        <v>244</v>
      </c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</row>
    <row r="191" spans="1:24" ht="13.5" customHeight="1">
      <c r="A191" s="77" t="s">
        <v>273</v>
      </c>
      <c r="B191" s="82" t="s">
        <v>307</v>
      </c>
      <c r="C191" s="77" t="str">
        <f t="shared" si="5"/>
        <v>Киров - Мураши - Киров</v>
      </c>
      <c r="D191" s="86">
        <v>226</v>
      </c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</row>
    <row r="192" spans="1:24" ht="13.5" customHeight="1">
      <c r="A192" s="77" t="s">
        <v>273</v>
      </c>
      <c r="B192" s="82" t="s">
        <v>290</v>
      </c>
      <c r="C192" s="77" t="str">
        <f t="shared" si="5"/>
        <v>Киров - Советск - Киров</v>
      </c>
      <c r="D192" s="86">
        <v>275</v>
      </c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</row>
    <row r="193" spans="1:24" ht="13.5" customHeight="1">
      <c r="A193" s="77" t="s">
        <v>308</v>
      </c>
      <c r="B193" s="77" t="s">
        <v>149</v>
      </c>
      <c r="C193" s="77" t="str">
        <f t="shared" si="5"/>
        <v>Краснодар - Волгоград - Краснодар</v>
      </c>
      <c r="D193" s="83">
        <v>1582</v>
      </c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</row>
    <row r="194" spans="1:24" ht="13.5" customHeight="1">
      <c r="A194" s="77" t="s">
        <v>308</v>
      </c>
      <c r="B194" s="77" t="s">
        <v>309</v>
      </c>
      <c r="C194" s="77" t="str">
        <f t="shared" si="5"/>
        <v>Краснодар - Полтавская - Трудобеликовский - Славянск-на-Кубани - Краснодар</v>
      </c>
      <c r="D194" s="83">
        <v>180</v>
      </c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</row>
    <row r="195" spans="1:24" ht="13.5" customHeight="1">
      <c r="A195" s="77" t="s">
        <v>308</v>
      </c>
      <c r="B195" s="77" t="s">
        <v>310</v>
      </c>
      <c r="C195" s="77" t="str">
        <f t="shared" si="5"/>
        <v>Краснодар - Славянск-на-Кубани - Краснодар</v>
      </c>
      <c r="D195" s="83">
        <v>164</v>
      </c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</row>
    <row r="196" spans="1:24" ht="13.5" customHeight="1">
      <c r="A196" s="77" t="s">
        <v>311</v>
      </c>
      <c r="B196" s="77" t="s">
        <v>312</v>
      </c>
      <c r="C196" s="77" t="s">
        <v>313</v>
      </c>
      <c r="D196" s="83">
        <v>183</v>
      </c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</row>
    <row r="197" spans="1:24" ht="13.5" customHeight="1">
      <c r="A197" s="77" t="s">
        <v>308</v>
      </c>
      <c r="B197" s="77" t="s">
        <v>314</v>
      </c>
      <c r="C197" s="77" t="str">
        <f t="shared" ref="C197:C199" si="6">CONCATENATE(A197," - ",B197," - ",A197)</f>
        <v>Краснодар - Тимашевск - Краснодар</v>
      </c>
      <c r="D197" s="83">
        <v>142</v>
      </c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</row>
    <row r="198" spans="1:24" ht="13.5" customHeight="1">
      <c r="A198" s="77" t="s">
        <v>308</v>
      </c>
      <c r="B198" s="77" t="s">
        <v>315</v>
      </c>
      <c r="C198" s="77" t="str">
        <f t="shared" si="6"/>
        <v>Краснодар - Тимашевск - Роговская - Брюховецкая - Краснодар</v>
      </c>
      <c r="D198" s="83">
        <v>233</v>
      </c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</row>
    <row r="199" spans="1:24" ht="13.5" customHeight="1">
      <c r="A199" s="77" t="s">
        <v>308</v>
      </c>
      <c r="B199" s="77" t="s">
        <v>316</v>
      </c>
      <c r="C199" s="77" t="str">
        <f t="shared" si="6"/>
        <v>Краснодар - Усть-Лабинск - Краснодар</v>
      </c>
      <c r="D199" s="83">
        <v>136</v>
      </c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</row>
    <row r="200" spans="1:24" ht="13.5" customHeight="1">
      <c r="A200" s="97" t="s">
        <v>308</v>
      </c>
      <c r="B200" s="77" t="s">
        <v>317</v>
      </c>
      <c r="C200" s="77" t="s">
        <v>318</v>
      </c>
      <c r="D200" s="103">
        <v>378</v>
      </c>
      <c r="E200" s="85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</row>
    <row r="201" spans="1:24" ht="13.5" customHeight="1">
      <c r="A201" s="77" t="s">
        <v>319</v>
      </c>
      <c r="B201" s="77" t="s">
        <v>320</v>
      </c>
      <c r="C201" s="77" t="str">
        <f t="shared" ref="C201:C202" si="7">CONCATENATE(A201," - ",B201," - ",A201)</f>
        <v>Красноярск - Абакан - Красноярск</v>
      </c>
      <c r="D201" s="83">
        <v>821</v>
      </c>
      <c r="E201" s="85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</row>
    <row r="202" spans="1:24" ht="13.5" customHeight="1">
      <c r="A202" s="77" t="s">
        <v>319</v>
      </c>
      <c r="B202" s="77" t="s">
        <v>321</v>
      </c>
      <c r="C202" s="77" t="str">
        <f t="shared" si="7"/>
        <v>Красноярск - Абакан - Минусинск - Черногорск - Красноярск</v>
      </c>
      <c r="D202" s="83">
        <v>871</v>
      </c>
      <c r="E202" s="85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</row>
    <row r="203" spans="1:24" ht="13.5" customHeight="1">
      <c r="A203" s="77" t="s">
        <v>319</v>
      </c>
      <c r="B203" s="77" t="s">
        <v>322</v>
      </c>
      <c r="C203" s="77" t="s">
        <v>323</v>
      </c>
      <c r="D203" s="80">
        <v>82</v>
      </c>
      <c r="E203" s="84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</row>
    <row r="204" spans="1:24" ht="13.5" customHeight="1">
      <c r="A204" s="77" t="s">
        <v>319</v>
      </c>
      <c r="B204" s="77" t="s">
        <v>324</v>
      </c>
      <c r="C204" s="77" t="str">
        <f t="shared" ref="C204:C330" si="8">CONCATENATE(A204," - ",B204," - ",A204)</f>
        <v>Красноярск - Кедровый - Козулька - Ачинск - Красноярск</v>
      </c>
      <c r="D204" s="80">
        <v>363</v>
      </c>
      <c r="E204" s="84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</row>
    <row r="205" spans="1:24" ht="13.5" customHeight="1">
      <c r="A205" s="77" t="s">
        <v>319</v>
      </c>
      <c r="B205" s="77" t="s">
        <v>325</v>
      </c>
      <c r="C205" s="77" t="str">
        <f t="shared" si="8"/>
        <v>Красноярск - Козулька - Ачинск - Красноярск</v>
      </c>
      <c r="D205" s="80">
        <v>351</v>
      </c>
      <c r="E205" s="85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</row>
    <row r="206" spans="1:24" ht="13.5" customHeight="1">
      <c r="A206" s="77" t="s">
        <v>319</v>
      </c>
      <c r="B206" s="77" t="s">
        <v>326</v>
      </c>
      <c r="C206" s="77" t="str">
        <f t="shared" si="8"/>
        <v>Красноярск - Козулька - Новоселово - Черногорск - Усть-Абакан- Абакан - Минусинск - Красноярск</v>
      </c>
      <c r="D206" s="80">
        <v>987</v>
      </c>
      <c r="E206" s="85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</row>
    <row r="207" spans="1:24" ht="13.5" customHeight="1">
      <c r="A207" s="77" t="s">
        <v>319</v>
      </c>
      <c r="B207" s="81" t="s">
        <v>327</v>
      </c>
      <c r="C207" s="77" t="str">
        <f t="shared" si="8"/>
        <v>Красноярск - Козулька - Новоселово - Белый Яр - Минусинск - Абакан - Черногорск- Усть-Абакан - Красноярск</v>
      </c>
      <c r="D207" s="80">
        <v>1133</v>
      </c>
      <c r="E207" s="85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</row>
    <row r="208" spans="1:24" ht="13.5" customHeight="1">
      <c r="A208" s="77" t="s">
        <v>319</v>
      </c>
      <c r="B208" s="81" t="s">
        <v>328</v>
      </c>
      <c r="C208" s="81" t="str">
        <f t="shared" si="8"/>
        <v>Красноярск - Новоселово - Знаменка - Черногорск - Усть-Абакан - Абакан - Минусинск - Красноярск</v>
      </c>
      <c r="D208" s="80">
        <v>881</v>
      </c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</row>
    <row r="209" spans="1:24" ht="13.5" customHeight="1">
      <c r="A209" s="77" t="s">
        <v>319</v>
      </c>
      <c r="B209" s="81" t="s">
        <v>329</v>
      </c>
      <c r="C209" s="81" t="str">
        <f t="shared" si="8"/>
        <v>Красноярск - Новоселово - Черногорск - Усть-Абакан - Абакан - Белый Яр -  Саяногорск - Минусинск - Красноярск</v>
      </c>
      <c r="D209" s="113">
        <v>1206</v>
      </c>
      <c r="E209" s="114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</row>
    <row r="210" spans="1:24" ht="13.5" customHeight="1">
      <c r="A210" s="77" t="s">
        <v>319</v>
      </c>
      <c r="B210" s="81" t="s">
        <v>330</v>
      </c>
      <c r="C210" s="81" t="str">
        <f t="shared" si="8"/>
        <v>Красноярск - Новоселово - Знаменка - Белый Яр - Черногорск - Усть-Абакан - Абакан - Минусинск - Красноярск</v>
      </c>
      <c r="D210" s="113">
        <v>1103</v>
      </c>
      <c r="E210" s="114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</row>
    <row r="211" spans="1:24" ht="13.5" customHeight="1">
      <c r="A211" s="77" t="s">
        <v>319</v>
      </c>
      <c r="B211" s="81" t="s">
        <v>331</v>
      </c>
      <c r="C211" s="81" t="str">
        <f t="shared" si="8"/>
        <v>Красноярск - Новоселово - Шира - Черногорск - Усть-Абакан - Абакан - Минусинск - Саяногорск - Белый Яр - Красноярск</v>
      </c>
      <c r="D211" s="113">
        <v>1290</v>
      </c>
      <c r="E211" s="114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</row>
    <row r="212" spans="1:24" ht="13.5" customHeight="1">
      <c r="A212" s="77" t="s">
        <v>319</v>
      </c>
      <c r="B212" s="81" t="s">
        <v>332</v>
      </c>
      <c r="C212" s="81" t="str">
        <f t="shared" si="8"/>
        <v>Красноярск - Новоселово - Черногорск - Усть-Абакан - Абакан - Минусинск - Белый Яр - Красноярск</v>
      </c>
      <c r="D212" s="80">
        <v>910</v>
      </c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</row>
    <row r="213" spans="1:24" ht="13.5" customHeight="1">
      <c r="A213" s="77" t="s">
        <v>319</v>
      </c>
      <c r="B213" s="77" t="s">
        <v>333</v>
      </c>
      <c r="C213" s="81" t="str">
        <f t="shared" si="8"/>
        <v>Красноярск - Знаменка - Черногорск - Усть-Абакан - Абакан - Минусинск - Белый Яр - Красноярск</v>
      </c>
      <c r="D213" s="80">
        <v>906</v>
      </c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</row>
    <row r="214" spans="1:24" ht="13.5" customHeight="1">
      <c r="A214" s="77" t="s">
        <v>334</v>
      </c>
      <c r="B214" s="81" t="s">
        <v>335</v>
      </c>
      <c r="C214" s="81" t="str">
        <f t="shared" si="8"/>
        <v xml:space="preserve">Красноярск  - Козулька - Новоселово - Знаменка - Белый Яр - Минусинск - Абакан - Черногорск - Усть-Абакан - Красноярск </v>
      </c>
      <c r="D214" s="80">
        <v>1016</v>
      </c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</row>
    <row r="215" spans="1:24" ht="13.5" customHeight="1">
      <c r="A215" s="77" t="s">
        <v>334</v>
      </c>
      <c r="B215" s="81" t="s">
        <v>336</v>
      </c>
      <c r="C215" s="81" t="str">
        <f t="shared" si="8"/>
        <v xml:space="preserve">Красноярск  - Козулька - Новоселово - Знаменка - Черногорск - Усть-Абакан - Абакан - Минусинск- Белый Яр - Красноярск </v>
      </c>
      <c r="D215" s="80">
        <v>1200</v>
      </c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</row>
    <row r="216" spans="1:24" ht="13.5" customHeight="1">
      <c r="A216" s="77" t="s">
        <v>337</v>
      </c>
      <c r="B216" s="77" t="s">
        <v>338</v>
      </c>
      <c r="C216" s="81" t="str">
        <f t="shared" si="8"/>
        <v>Липецк - Боринское - Задонск - Хлевное - Липецк</v>
      </c>
      <c r="D216" s="80">
        <v>152</v>
      </c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</row>
    <row r="217" spans="1:24" ht="13.5" customHeight="1">
      <c r="A217" s="77" t="s">
        <v>337</v>
      </c>
      <c r="B217" s="77" t="s">
        <v>339</v>
      </c>
      <c r="C217" s="81" t="str">
        <f t="shared" si="8"/>
        <v>Липецк - Грязи - Липецк</v>
      </c>
      <c r="D217" s="80">
        <v>60</v>
      </c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</row>
    <row r="218" spans="1:24" ht="13.5" customHeight="1">
      <c r="A218" s="77" t="s">
        <v>337</v>
      </c>
      <c r="B218" s="77" t="s">
        <v>340</v>
      </c>
      <c r="C218" s="77" t="str">
        <f t="shared" si="8"/>
        <v>Липецк - Грязи - Усмань - Липецк</v>
      </c>
      <c r="D218" s="80">
        <v>179</v>
      </c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</row>
    <row r="219" spans="1:24" ht="13.5" customHeight="1">
      <c r="A219" s="77" t="s">
        <v>337</v>
      </c>
      <c r="B219" s="100" t="s">
        <v>341</v>
      </c>
      <c r="C219" s="77" t="str">
        <f t="shared" si="8"/>
        <v>Липецк - Усмань - Липецк</v>
      </c>
      <c r="D219" s="83">
        <v>147</v>
      </c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</row>
    <row r="220" spans="1:24" ht="13.5" customHeight="1">
      <c r="A220" s="77" t="s">
        <v>337</v>
      </c>
      <c r="B220" s="100" t="s">
        <v>342</v>
      </c>
      <c r="C220" s="77" t="str">
        <f t="shared" si="8"/>
        <v>Липецк - Данков - Елец - Липецк</v>
      </c>
      <c r="D220" s="83">
        <v>278</v>
      </c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</row>
    <row r="221" spans="1:24" ht="13.5" customHeight="1">
      <c r="A221" s="77" t="s">
        <v>337</v>
      </c>
      <c r="B221" s="100" t="s">
        <v>343</v>
      </c>
      <c r="C221" s="77" t="str">
        <f t="shared" si="8"/>
        <v>Липецк - Данков - Чаплыгин - Липецк</v>
      </c>
      <c r="D221" s="80">
        <v>232</v>
      </c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</row>
    <row r="222" spans="1:24" ht="13.5" customHeight="1">
      <c r="A222" s="77" t="s">
        <v>337</v>
      </c>
      <c r="B222" s="77" t="s">
        <v>344</v>
      </c>
      <c r="C222" s="77" t="str">
        <f t="shared" si="8"/>
        <v>Липецк - Елец - Задонск - Липецк</v>
      </c>
      <c r="D222" s="80">
        <v>189</v>
      </c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</row>
    <row r="223" spans="1:24" ht="13.5" customHeight="1">
      <c r="A223" s="77" t="s">
        <v>337</v>
      </c>
      <c r="B223" s="77" t="s">
        <v>345</v>
      </c>
      <c r="C223" s="77" t="str">
        <f t="shared" si="8"/>
        <v>Липецк - Елец - Копцевы Хутора - Липецк</v>
      </c>
      <c r="D223" s="80">
        <v>188</v>
      </c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</row>
    <row r="224" spans="1:24" ht="13.5" customHeight="1">
      <c r="A224" s="77" t="s">
        <v>337</v>
      </c>
      <c r="B224" s="77" t="s">
        <v>346</v>
      </c>
      <c r="C224" s="77" t="str">
        <f t="shared" si="8"/>
        <v>Липецк - Елец - Липецк</v>
      </c>
      <c r="D224" s="80">
        <v>171</v>
      </c>
      <c r="E224" s="85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</row>
    <row r="225" spans="1:24" ht="13.5" customHeight="1">
      <c r="A225" s="77" t="s">
        <v>337</v>
      </c>
      <c r="B225" s="77" t="s">
        <v>347</v>
      </c>
      <c r="C225" s="77" t="str">
        <f t="shared" si="8"/>
        <v>Липецк - Задонск - Липецк</v>
      </c>
      <c r="D225" s="80">
        <v>115</v>
      </c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</row>
    <row r="226" spans="1:24" ht="13.5" customHeight="1">
      <c r="A226" s="77" t="s">
        <v>337</v>
      </c>
      <c r="B226" s="77" t="s">
        <v>348</v>
      </c>
      <c r="C226" s="77" t="str">
        <f t="shared" si="8"/>
        <v>Липецк - Лебедянь - Данков - Липецк</v>
      </c>
      <c r="D226" s="80">
        <v>184</v>
      </c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</row>
    <row r="227" spans="1:24" ht="13.5" customHeight="1">
      <c r="A227" s="77" t="s">
        <v>337</v>
      </c>
      <c r="B227" s="77" t="s">
        <v>349</v>
      </c>
      <c r="C227" s="77" t="str">
        <f t="shared" si="8"/>
        <v>Липецк - Лебедянь - Данков - Чаплыгин - Липецк</v>
      </c>
      <c r="D227" s="80">
        <v>244</v>
      </c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</row>
    <row r="228" spans="1:24" ht="13.5" customHeight="1">
      <c r="A228" s="77" t="s">
        <v>337</v>
      </c>
      <c r="B228" s="82" t="s">
        <v>350</v>
      </c>
      <c r="C228" s="77" t="str">
        <f t="shared" si="8"/>
        <v>Липецк - Лебедянь - Чаплыгин - Липецк</v>
      </c>
      <c r="D228" s="80">
        <v>229</v>
      </c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</row>
    <row r="229" spans="1:24" ht="13.5" customHeight="1">
      <c r="A229" s="77" t="s">
        <v>337</v>
      </c>
      <c r="B229" s="77" t="s">
        <v>351</v>
      </c>
      <c r="C229" s="77" t="str">
        <f t="shared" si="8"/>
        <v>Липецк - Копцевы Хутора - Лебедянь - Данков - Липецк</v>
      </c>
      <c r="D229" s="80">
        <v>185</v>
      </c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</row>
    <row r="230" spans="1:24" ht="13.5" customHeight="1">
      <c r="A230" s="77" t="s">
        <v>337</v>
      </c>
      <c r="B230" s="77" t="s">
        <v>352</v>
      </c>
      <c r="C230" s="77" t="str">
        <f t="shared" si="8"/>
        <v>Липецк - Тамбов - Липецк</v>
      </c>
      <c r="D230" s="80">
        <v>271</v>
      </c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</row>
    <row r="231" spans="1:24" ht="13.5" customHeight="1">
      <c r="A231" s="77" t="s">
        <v>337</v>
      </c>
      <c r="B231" s="77" t="s">
        <v>353</v>
      </c>
      <c r="C231" s="77" t="str">
        <f t="shared" si="8"/>
        <v>Липецк - Чаплыгин - Липецк</v>
      </c>
      <c r="D231" s="80">
        <v>166</v>
      </c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</row>
    <row r="232" spans="1:24" ht="13.5" customHeight="1">
      <c r="A232" s="97" t="s">
        <v>186</v>
      </c>
      <c r="B232" s="77" t="s">
        <v>354</v>
      </c>
      <c r="C232" s="77" t="str">
        <f t="shared" si="8"/>
        <v>Москва - Апрелевка - Москва</v>
      </c>
      <c r="D232" s="83">
        <v>88</v>
      </c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</row>
    <row r="233" spans="1:24" ht="13.5" customHeight="1">
      <c r="A233" s="97" t="s">
        <v>186</v>
      </c>
      <c r="B233" s="82" t="s">
        <v>107</v>
      </c>
      <c r="C233" s="77" t="str">
        <f t="shared" si="8"/>
        <v>Москва - Белгород - Москва</v>
      </c>
      <c r="D233" s="83">
        <v>1330</v>
      </c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</row>
    <row r="234" spans="1:24" ht="13.5" customHeight="1">
      <c r="A234" s="97" t="s">
        <v>186</v>
      </c>
      <c r="B234" s="104" t="s">
        <v>355</v>
      </c>
      <c r="C234" s="77" t="str">
        <f t="shared" si="8"/>
        <v>Москва - Белгород - Брянск - Москва</v>
      </c>
      <c r="D234" s="103">
        <v>1489</v>
      </c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</row>
    <row r="235" spans="1:24" ht="13.5" customHeight="1">
      <c r="A235" s="97" t="s">
        <v>186</v>
      </c>
      <c r="B235" s="100" t="s">
        <v>356</v>
      </c>
      <c r="C235" s="77" t="str">
        <f t="shared" si="8"/>
        <v>Москва - Белгород - Воронеж - Москва</v>
      </c>
      <c r="D235" s="83">
        <v>1439</v>
      </c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</row>
    <row r="236" spans="1:24" ht="13.5" customHeight="1">
      <c r="A236" s="97" t="s">
        <v>186</v>
      </c>
      <c r="B236" s="100" t="s">
        <v>357</v>
      </c>
      <c r="C236" s="77" t="str">
        <f t="shared" si="8"/>
        <v>Москва - Белгород - Тула - Москва</v>
      </c>
      <c r="D236" s="103">
        <v>1333</v>
      </c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</row>
    <row r="237" spans="1:24" ht="13.5" customHeight="1">
      <c r="A237" s="97" t="s">
        <v>186</v>
      </c>
      <c r="B237" s="100" t="s">
        <v>358</v>
      </c>
      <c r="C237" s="77" t="str">
        <f t="shared" si="8"/>
        <v>Москва - Белгород - Калуга - Москва</v>
      </c>
      <c r="D237" s="103">
        <v>1358</v>
      </c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</row>
    <row r="238" spans="1:24" ht="13.5" customHeight="1">
      <c r="A238" s="97" t="s">
        <v>186</v>
      </c>
      <c r="B238" s="100" t="s">
        <v>118</v>
      </c>
      <c r="C238" s="77" t="str">
        <f t="shared" si="8"/>
        <v>Москва - Брянск - Москва</v>
      </c>
      <c r="D238" s="83">
        <v>765</v>
      </c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</row>
    <row r="239" spans="1:24" ht="13.5" customHeight="1">
      <c r="A239" s="97" t="s">
        <v>186</v>
      </c>
      <c r="B239" s="100" t="s">
        <v>359</v>
      </c>
      <c r="C239" s="77" t="str">
        <f t="shared" si="8"/>
        <v>Москва - Брянск - Липецк - Москва</v>
      </c>
      <c r="D239" s="103">
        <v>1242</v>
      </c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</row>
    <row r="240" spans="1:24" ht="13.5" customHeight="1">
      <c r="A240" s="97" t="s">
        <v>186</v>
      </c>
      <c r="B240" s="100" t="s">
        <v>360</v>
      </c>
      <c r="C240" s="77" t="str">
        <f t="shared" si="8"/>
        <v>Москва - Брянск - Навля - Жуковка - Москва</v>
      </c>
      <c r="D240" s="83">
        <v>987</v>
      </c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</row>
    <row r="241" spans="1:24" ht="13.5" customHeight="1">
      <c r="A241" s="97" t="s">
        <v>186</v>
      </c>
      <c r="B241" s="100" t="s">
        <v>139</v>
      </c>
      <c r="C241" s="77" t="str">
        <f t="shared" si="8"/>
        <v>Москва - Владимир - Москва</v>
      </c>
      <c r="D241" s="83">
        <v>372</v>
      </c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</row>
    <row r="242" spans="1:24" ht="13.5" customHeight="1">
      <c r="A242" s="97" t="s">
        <v>186</v>
      </c>
      <c r="B242" s="100" t="s">
        <v>361</v>
      </c>
      <c r="C242" s="77" t="str">
        <f t="shared" si="8"/>
        <v>Москва - Владимир - Александров - Москва</v>
      </c>
      <c r="D242" s="103">
        <v>438</v>
      </c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</row>
    <row r="243" spans="1:24" ht="13.5" customHeight="1">
      <c r="A243" s="97" t="s">
        <v>186</v>
      </c>
      <c r="B243" s="77" t="s">
        <v>362</v>
      </c>
      <c r="C243" s="77" t="str">
        <f t="shared" si="8"/>
        <v>Москва - Владимир - Иваново - Москва</v>
      </c>
      <c r="D243" s="83">
        <v>599</v>
      </c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</row>
    <row r="244" spans="1:24" ht="13.5" customHeight="1">
      <c r="A244" s="97" t="s">
        <v>186</v>
      </c>
      <c r="B244" s="82" t="s">
        <v>363</v>
      </c>
      <c r="C244" s="77" t="str">
        <f t="shared" si="8"/>
        <v>Москва - Владимир - Иваново - Кострома - Москва</v>
      </c>
      <c r="D244" s="83">
        <v>748</v>
      </c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</row>
    <row r="245" spans="1:24" ht="13.5" customHeight="1">
      <c r="A245" s="77" t="s">
        <v>186</v>
      </c>
      <c r="B245" s="82" t="s">
        <v>364</v>
      </c>
      <c r="C245" s="77" t="str">
        <f t="shared" si="8"/>
        <v>Москва - Владимир - Ковров - Москва</v>
      </c>
      <c r="D245" s="83">
        <v>535</v>
      </c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</row>
    <row r="246" spans="1:24" ht="13.5" customHeight="1">
      <c r="A246" s="97" t="s">
        <v>186</v>
      </c>
      <c r="B246" s="82" t="s">
        <v>365</v>
      </c>
      <c r="C246" s="77" t="str">
        <f t="shared" si="8"/>
        <v>Москва - Владимир - Кострома - Москва</v>
      </c>
      <c r="D246" s="83">
        <v>746</v>
      </c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</row>
    <row r="247" spans="1:24" ht="13.5" customHeight="1">
      <c r="A247" s="77" t="s">
        <v>186</v>
      </c>
      <c r="B247" s="82" t="s">
        <v>366</v>
      </c>
      <c r="C247" s="77" t="str">
        <f t="shared" si="8"/>
        <v>Москва - Владимир - Муром - Москва</v>
      </c>
      <c r="D247" s="83">
        <v>629</v>
      </c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</row>
    <row r="248" spans="1:24" ht="13.5" customHeight="1">
      <c r="A248" s="97" t="s">
        <v>186</v>
      </c>
      <c r="B248" s="82" t="s">
        <v>367</v>
      </c>
      <c r="C248" s="77" t="str">
        <f t="shared" si="8"/>
        <v>Москва - Владимир - Суздаль - Москва</v>
      </c>
      <c r="D248" s="83">
        <v>443</v>
      </c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</row>
    <row r="249" spans="1:24" ht="13.5" customHeight="1">
      <c r="A249" s="97" t="s">
        <v>186</v>
      </c>
      <c r="B249" s="82" t="s">
        <v>368</v>
      </c>
      <c r="C249" s="77" t="str">
        <f t="shared" si="8"/>
        <v>Москва - Владимир - Суздаль - Юрьев-Польский  - Москва</v>
      </c>
      <c r="D249" s="83">
        <v>459</v>
      </c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</row>
    <row r="250" spans="1:24" ht="13.5" customHeight="1">
      <c r="A250" s="97" t="s">
        <v>186</v>
      </c>
      <c r="B250" s="77" t="s">
        <v>369</v>
      </c>
      <c r="C250" s="77" t="str">
        <f t="shared" si="8"/>
        <v>Москва - Владимир - Вологда - Москва</v>
      </c>
      <c r="D250" s="103">
        <v>1070</v>
      </c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</row>
    <row r="251" spans="1:24" ht="13.5" customHeight="1">
      <c r="A251" s="97" t="s">
        <v>186</v>
      </c>
      <c r="B251" s="77" t="s">
        <v>370</v>
      </c>
      <c r="C251" s="77" t="str">
        <f t="shared" si="8"/>
        <v>Москва - Владимир - Ярославль - Москва</v>
      </c>
      <c r="D251" s="103">
        <v>683</v>
      </c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</row>
    <row r="252" spans="1:24" ht="13.5" customHeight="1">
      <c r="A252" s="77" t="s">
        <v>186</v>
      </c>
      <c r="B252" s="77" t="s">
        <v>151</v>
      </c>
      <c r="C252" s="77" t="str">
        <f t="shared" si="8"/>
        <v>Москва - Вологда - Москва</v>
      </c>
      <c r="D252" s="83">
        <v>922</v>
      </c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</row>
    <row r="253" spans="1:24" ht="13.5" customHeight="1">
      <c r="A253" s="97" t="s">
        <v>186</v>
      </c>
      <c r="B253" s="77" t="s">
        <v>371</v>
      </c>
      <c r="C253" s="77" t="str">
        <f t="shared" si="8"/>
        <v>Москва - Вологда - Череповец - Москва</v>
      </c>
      <c r="D253" s="83">
        <v>1087</v>
      </c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</row>
    <row r="254" spans="1:24" ht="12.75" customHeight="1">
      <c r="A254" s="97" t="s">
        <v>186</v>
      </c>
      <c r="B254" s="107" t="s">
        <v>372</v>
      </c>
      <c r="C254" s="77" t="str">
        <f t="shared" si="8"/>
        <v>Москва - Вологда - Ярославль - Москва</v>
      </c>
      <c r="D254" s="83">
        <v>469</v>
      </c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</row>
    <row r="255" spans="1:24" ht="12.75" customHeight="1">
      <c r="A255" s="97" t="s">
        <v>186</v>
      </c>
      <c r="B255" s="100" t="s">
        <v>154</v>
      </c>
      <c r="C255" s="77" t="str">
        <f t="shared" si="8"/>
        <v>Москва - Воронеж - Москва</v>
      </c>
      <c r="D255" s="83">
        <v>1034</v>
      </c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</row>
    <row r="256" spans="1:24" ht="12.75" customHeight="1">
      <c r="A256" s="97" t="s">
        <v>186</v>
      </c>
      <c r="B256" s="100" t="s">
        <v>373</v>
      </c>
      <c r="C256" s="77" t="str">
        <f t="shared" si="8"/>
        <v>Москва - Воронеж - Липецк - Москва</v>
      </c>
      <c r="D256" s="83">
        <v>1078</v>
      </c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</row>
    <row r="257" spans="1:24" ht="12.75" customHeight="1">
      <c r="A257" s="97" t="s">
        <v>186</v>
      </c>
      <c r="B257" s="100" t="s">
        <v>374</v>
      </c>
      <c r="C257" s="77" t="str">
        <f t="shared" si="8"/>
        <v>Москва - Воронеж - Тула - Москва</v>
      </c>
      <c r="D257" s="80">
        <v>1045</v>
      </c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</row>
    <row r="258" spans="1:24" ht="13.5" customHeight="1">
      <c r="A258" s="97" t="s">
        <v>186</v>
      </c>
      <c r="B258" s="77" t="s">
        <v>375</v>
      </c>
      <c r="C258" s="77" t="str">
        <f t="shared" si="8"/>
        <v>Москва - Звенигород - Москва</v>
      </c>
      <c r="D258" s="80">
        <v>128</v>
      </c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</row>
    <row r="259" spans="1:24" ht="13.5" customHeight="1">
      <c r="A259" s="97" t="s">
        <v>186</v>
      </c>
      <c r="B259" s="77" t="s">
        <v>376</v>
      </c>
      <c r="C259" s="77" t="str">
        <f t="shared" si="8"/>
        <v>Москва - Зеленоград - Москва</v>
      </c>
      <c r="D259" s="80">
        <v>85</v>
      </c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</row>
    <row r="260" spans="1:24" ht="13.5" customHeight="1">
      <c r="A260" s="77" t="s">
        <v>186</v>
      </c>
      <c r="B260" s="77" t="s">
        <v>143</v>
      </c>
      <c r="C260" s="77" t="str">
        <f t="shared" si="8"/>
        <v>Москва - Иваново - Москва</v>
      </c>
      <c r="D260" s="80">
        <v>600</v>
      </c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</row>
    <row r="261" spans="1:24" ht="13.5" customHeight="1">
      <c r="A261" s="97" t="s">
        <v>186</v>
      </c>
      <c r="B261" s="77" t="s">
        <v>377</v>
      </c>
      <c r="C261" s="77" t="str">
        <f t="shared" si="8"/>
        <v>Москва - Иваново - Владимир - Москва</v>
      </c>
      <c r="D261" s="83">
        <v>599</v>
      </c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</row>
    <row r="262" spans="1:24" ht="13.5" customHeight="1">
      <c r="A262" s="77" t="s">
        <v>186</v>
      </c>
      <c r="B262" s="77" t="s">
        <v>295</v>
      </c>
      <c r="C262" s="77" t="str">
        <f t="shared" si="8"/>
        <v>Москва - Калуга - Москва</v>
      </c>
      <c r="D262" s="80">
        <v>361</v>
      </c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</row>
    <row r="263" spans="1:24" ht="13.5" customHeight="1">
      <c r="A263" s="77" t="s">
        <v>186</v>
      </c>
      <c r="B263" s="77" t="s">
        <v>378</v>
      </c>
      <c r="C263" s="77" t="str">
        <f t="shared" si="8"/>
        <v>Москва - Калуга - Тула - Москва</v>
      </c>
      <c r="D263" s="103">
        <v>481</v>
      </c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</row>
    <row r="264" spans="1:24" ht="13.5" customHeight="1">
      <c r="A264" s="77" t="s">
        <v>186</v>
      </c>
      <c r="B264" s="77" t="s">
        <v>379</v>
      </c>
      <c r="C264" s="77" t="str">
        <f t="shared" si="8"/>
        <v>Москва - Коломна - Москва</v>
      </c>
      <c r="D264" s="83">
        <v>227</v>
      </c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</row>
    <row r="265" spans="1:24" ht="13.5" customHeight="1">
      <c r="A265" s="77" t="s">
        <v>186</v>
      </c>
      <c r="B265" s="77" t="s">
        <v>380</v>
      </c>
      <c r="C265" s="77" t="str">
        <f t="shared" si="8"/>
        <v>Москва - Коломна - Рязань - Москва</v>
      </c>
      <c r="D265" s="83">
        <v>395</v>
      </c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</row>
    <row r="266" spans="1:24" ht="13.5" customHeight="1">
      <c r="A266" s="77" t="s">
        <v>186</v>
      </c>
      <c r="B266" s="77" t="s">
        <v>381</v>
      </c>
      <c r="C266" s="77" t="str">
        <f t="shared" si="8"/>
        <v>Москва - Кострома - Москва</v>
      </c>
      <c r="D266" s="80">
        <v>678</v>
      </c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</row>
    <row r="267" spans="1:24" ht="13.5" customHeight="1">
      <c r="A267" s="77" t="s">
        <v>186</v>
      </c>
      <c r="B267" s="82" t="s">
        <v>382</v>
      </c>
      <c r="C267" s="77" t="str">
        <f t="shared" si="8"/>
        <v>Москва - Кострома - Вологда - Череповец - Москва</v>
      </c>
      <c r="D267" s="83">
        <v>1243</v>
      </c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</row>
    <row r="268" spans="1:24" ht="13.5" customHeight="1">
      <c r="A268" s="77" t="s">
        <v>186</v>
      </c>
      <c r="B268" s="104" t="s">
        <v>145</v>
      </c>
      <c r="C268" s="77" t="str">
        <f t="shared" si="8"/>
        <v>Москва - Ковров - Москва</v>
      </c>
      <c r="D268" s="103">
        <v>537</v>
      </c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</row>
    <row r="269" spans="1:24" ht="13.5" customHeight="1">
      <c r="A269" s="77" t="s">
        <v>186</v>
      </c>
      <c r="B269" s="104" t="s">
        <v>337</v>
      </c>
      <c r="C269" s="77" t="str">
        <f t="shared" si="8"/>
        <v>Москва - Липецк - Москва</v>
      </c>
      <c r="D269" s="103">
        <v>874</v>
      </c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</row>
    <row r="270" spans="1:24" ht="13.5" customHeight="1">
      <c r="A270" s="77" t="s">
        <v>186</v>
      </c>
      <c r="B270" s="104" t="s">
        <v>383</v>
      </c>
      <c r="C270" s="77" t="str">
        <f t="shared" si="8"/>
        <v>Москва - Липецк - Белгород - Москва</v>
      </c>
      <c r="D270" s="103">
        <v>1479</v>
      </c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</row>
    <row r="271" spans="1:24" ht="13.5" customHeight="1">
      <c r="A271" s="77" t="s">
        <v>186</v>
      </c>
      <c r="B271" s="104" t="s">
        <v>384</v>
      </c>
      <c r="C271" s="77" t="str">
        <f t="shared" si="8"/>
        <v>Москва - Липецк - Тула - Москва</v>
      </c>
      <c r="D271" s="103">
        <v>912</v>
      </c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</row>
    <row r="272" spans="1:24" ht="13.5" customHeight="1">
      <c r="A272" s="77" t="s">
        <v>186</v>
      </c>
      <c r="B272" s="82" t="s">
        <v>385</v>
      </c>
      <c r="C272" s="77" t="str">
        <f t="shared" si="8"/>
        <v>Москва - Наро-Фоминск - Москва</v>
      </c>
      <c r="D272" s="83">
        <v>143</v>
      </c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</row>
    <row r="273" spans="1:24" ht="13.5" customHeight="1">
      <c r="A273" s="77" t="s">
        <v>186</v>
      </c>
      <c r="B273" s="82" t="s">
        <v>275</v>
      </c>
      <c r="C273" s="77" t="str">
        <f t="shared" si="8"/>
        <v>Москва - Нижний Новгород - Москва</v>
      </c>
      <c r="D273" s="83">
        <v>845</v>
      </c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</row>
    <row r="274" spans="1:24" ht="13.5" customHeight="1">
      <c r="A274" s="77" t="s">
        <v>186</v>
      </c>
      <c r="B274" s="77" t="s">
        <v>386</v>
      </c>
      <c r="C274" s="77" t="str">
        <f t="shared" si="8"/>
        <v>Москва - Нижний Новгород - Владимир - Москва</v>
      </c>
      <c r="D274" s="80">
        <v>842</v>
      </c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</row>
    <row r="275" spans="1:24" ht="13.5" customHeight="1">
      <c r="A275" s="77" t="s">
        <v>186</v>
      </c>
      <c r="B275" s="77" t="s">
        <v>387</v>
      </c>
      <c r="C275" s="77" t="str">
        <f t="shared" si="8"/>
        <v>Москва - Рязань - Москва</v>
      </c>
      <c r="D275" s="80">
        <v>395</v>
      </c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</row>
    <row r="276" spans="1:24" ht="13.5" customHeight="1">
      <c r="A276" s="97" t="s">
        <v>186</v>
      </c>
      <c r="B276" s="82" t="s">
        <v>388</v>
      </c>
      <c r="C276" s="77" t="str">
        <f t="shared" si="8"/>
        <v>Москва - Рязань - Егорьевск - Москва</v>
      </c>
      <c r="D276" s="83">
        <v>450</v>
      </c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</row>
    <row r="277" spans="1:24" ht="13.5" customHeight="1">
      <c r="A277" s="77" t="s">
        <v>186</v>
      </c>
      <c r="B277" s="82" t="s">
        <v>389</v>
      </c>
      <c r="C277" s="77" t="str">
        <f t="shared" si="8"/>
        <v>Москва - Санкт-Петербург - Москва</v>
      </c>
      <c r="D277" s="83">
        <v>1424</v>
      </c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</row>
    <row r="278" spans="1:24" ht="13.5" customHeight="1">
      <c r="A278" s="77" t="s">
        <v>186</v>
      </c>
      <c r="B278" s="77" t="s">
        <v>390</v>
      </c>
      <c r="C278" s="77" t="str">
        <f t="shared" si="8"/>
        <v>Москва - Солнечногорск - Москва</v>
      </c>
      <c r="D278" s="83">
        <v>147</v>
      </c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</row>
    <row r="279" spans="1:24" ht="13.5" customHeight="1">
      <c r="A279" s="97" t="s">
        <v>186</v>
      </c>
      <c r="B279" s="77" t="s">
        <v>391</v>
      </c>
      <c r="C279" s="77" t="str">
        <f t="shared" si="8"/>
        <v>Москва - Смоленск - Москва</v>
      </c>
      <c r="D279" s="83">
        <v>792</v>
      </c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</row>
    <row r="280" spans="1:24" ht="13.5" customHeight="1">
      <c r="A280" s="77" t="s">
        <v>186</v>
      </c>
      <c r="B280" s="82" t="s">
        <v>392</v>
      </c>
      <c r="C280" s="77" t="str">
        <f t="shared" si="8"/>
        <v>Москва - Смоленск - Брянск - Москва</v>
      </c>
      <c r="D280" s="83">
        <v>1027</v>
      </c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</row>
    <row r="281" spans="1:24" ht="13.5" customHeight="1">
      <c r="A281" s="77" t="s">
        <v>186</v>
      </c>
      <c r="B281" s="77" t="s">
        <v>352</v>
      </c>
      <c r="C281" s="77" t="str">
        <f t="shared" si="8"/>
        <v>Москва - Тамбов - Москва</v>
      </c>
      <c r="D281" s="80">
        <v>918</v>
      </c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</row>
    <row r="282" spans="1:24" ht="13.5" customHeight="1">
      <c r="A282" s="97" t="s">
        <v>186</v>
      </c>
      <c r="B282" s="100" t="s">
        <v>393</v>
      </c>
      <c r="C282" s="77" t="str">
        <f t="shared" si="8"/>
        <v>Москва - Тамбов - Рязань - Москва</v>
      </c>
      <c r="D282" s="83">
        <v>942</v>
      </c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</row>
    <row r="283" spans="1:24" ht="13.5" customHeight="1">
      <c r="A283" s="97" t="s">
        <v>186</v>
      </c>
      <c r="B283" s="77" t="s">
        <v>394</v>
      </c>
      <c r="C283" s="77" t="str">
        <f t="shared" si="8"/>
        <v>Москва - Тверь - Москва</v>
      </c>
      <c r="D283" s="83">
        <v>366</v>
      </c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</row>
    <row r="284" spans="1:24" ht="13.5" customHeight="1">
      <c r="A284" s="97" t="s">
        <v>186</v>
      </c>
      <c r="B284" s="77" t="s">
        <v>395</v>
      </c>
      <c r="C284" s="77" t="str">
        <f t="shared" si="8"/>
        <v>Москва - Химки - Москва</v>
      </c>
      <c r="D284" s="115">
        <v>46</v>
      </c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</row>
    <row r="285" spans="1:24" ht="13.5" customHeight="1">
      <c r="A285" s="97" t="s">
        <v>186</v>
      </c>
      <c r="B285" s="77" t="s">
        <v>396</v>
      </c>
      <c r="C285" s="77" t="str">
        <f t="shared" si="8"/>
        <v>Москва - Ярославль - Москва</v>
      </c>
      <c r="D285" s="115">
        <v>543</v>
      </c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</row>
    <row r="286" spans="1:24" ht="13.5" customHeight="1">
      <c r="A286" s="97" t="s">
        <v>186</v>
      </c>
      <c r="B286" s="100" t="s">
        <v>397</v>
      </c>
      <c r="C286" s="77" t="str">
        <f t="shared" si="8"/>
        <v>Москва - Ярославль - Владимир - Москва</v>
      </c>
      <c r="D286" s="83">
        <v>680</v>
      </c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</row>
    <row r="287" spans="1:24" ht="13.5" customHeight="1">
      <c r="A287" s="97" t="s">
        <v>186</v>
      </c>
      <c r="B287" s="100" t="s">
        <v>398</v>
      </c>
      <c r="C287" s="77" t="str">
        <f t="shared" si="8"/>
        <v>Москва - Ярославль - Кострома  - Москва</v>
      </c>
      <c r="D287" s="83">
        <v>691</v>
      </c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</row>
    <row r="288" spans="1:24" ht="13.5" customHeight="1">
      <c r="A288" s="97" t="s">
        <v>186</v>
      </c>
      <c r="B288" s="100" t="s">
        <v>399</v>
      </c>
      <c r="C288" s="77" t="str">
        <f t="shared" si="8"/>
        <v>Москва - Ярославль - Рыбинск  - Москва</v>
      </c>
      <c r="D288" s="103">
        <v>671</v>
      </c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</row>
    <row r="289" spans="1:24" ht="13.5" customHeight="1">
      <c r="A289" s="97" t="s">
        <v>186</v>
      </c>
      <c r="B289" s="100" t="s">
        <v>400</v>
      </c>
      <c r="C289" s="77" t="str">
        <f t="shared" si="8"/>
        <v>Москва - Ярославль - Рыбинск - Ярославль - Москва</v>
      </c>
      <c r="D289" s="103">
        <v>713</v>
      </c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</row>
    <row r="290" spans="1:24" ht="13.5" customHeight="1">
      <c r="A290" s="97" t="s">
        <v>401</v>
      </c>
      <c r="B290" s="100" t="s">
        <v>402</v>
      </c>
      <c r="C290" s="77" t="str">
        <f t="shared" si="8"/>
        <v>Мурманск - Апатиты - Кировск - Мурманск</v>
      </c>
      <c r="D290" s="83">
        <v>427</v>
      </c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</row>
    <row r="291" spans="1:24" ht="13.5" customHeight="1">
      <c r="A291" s="77" t="s">
        <v>401</v>
      </c>
      <c r="B291" s="97" t="s">
        <v>403</v>
      </c>
      <c r="C291" s="77" t="str">
        <f t="shared" si="8"/>
        <v>Мурманск - Апатиты - Полярные Зори - Кандалакша - Мурманск</v>
      </c>
      <c r="D291" s="83">
        <v>558</v>
      </c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</row>
    <row r="292" spans="1:24" ht="13.5" customHeight="1">
      <c r="A292" s="77" t="s">
        <v>401</v>
      </c>
      <c r="B292" s="77" t="s">
        <v>404</v>
      </c>
      <c r="C292" s="77" t="str">
        <f t="shared" si="8"/>
        <v>Мурманск - Кандалакша - Апатиты - Мурманск</v>
      </c>
      <c r="D292" s="83">
        <v>556</v>
      </c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</row>
    <row r="293" spans="1:24" ht="13.5" customHeight="1">
      <c r="A293" s="77" t="s">
        <v>401</v>
      </c>
      <c r="B293" s="104" t="s">
        <v>405</v>
      </c>
      <c r="C293" s="77" t="str">
        <f t="shared" si="8"/>
        <v>Мурманск - Кандалакша - Апатиты - Кировск - Мурманск</v>
      </c>
      <c r="D293" s="83">
        <v>588</v>
      </c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</row>
    <row r="294" spans="1:24" ht="13.5" customHeight="1">
      <c r="A294" s="97" t="s">
        <v>401</v>
      </c>
      <c r="B294" s="100" t="s">
        <v>406</v>
      </c>
      <c r="C294" s="77" t="str">
        <f t="shared" si="8"/>
        <v>Мурманск - Мончегорск - Мурманск</v>
      </c>
      <c r="D294" s="83">
        <v>276</v>
      </c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</row>
    <row r="295" spans="1:24" ht="13.5" customHeight="1">
      <c r="A295" s="77" t="s">
        <v>401</v>
      </c>
      <c r="B295" s="77" t="s">
        <v>407</v>
      </c>
      <c r="C295" s="77" t="str">
        <f t="shared" si="8"/>
        <v>Мурманск - Оленегорск - Кировск - Апатиты - Мурманск</v>
      </c>
      <c r="D295" s="83">
        <v>436</v>
      </c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</row>
    <row r="296" spans="1:24" ht="13.5" customHeight="1">
      <c r="A296" s="97" t="s">
        <v>401</v>
      </c>
      <c r="B296" s="100" t="s">
        <v>408</v>
      </c>
      <c r="C296" s="77" t="str">
        <f t="shared" si="8"/>
        <v>Мурманск - Оленегорск - Мончегорск - Мурманск</v>
      </c>
      <c r="D296" s="83">
        <v>285</v>
      </c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</row>
    <row r="297" spans="1:24" ht="13.5" customHeight="1">
      <c r="A297" s="97" t="s">
        <v>401</v>
      </c>
      <c r="B297" s="100" t="s">
        <v>409</v>
      </c>
      <c r="C297" s="77" t="str">
        <f t="shared" si="8"/>
        <v>Мурманск - Оленегорск - Мончегорск - Апатиты - Мурманск</v>
      </c>
      <c r="D297" s="83">
        <v>412</v>
      </c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</row>
    <row r="298" spans="1:24" ht="13.5" customHeight="1">
      <c r="A298" s="77" t="s">
        <v>401</v>
      </c>
      <c r="B298" s="82" t="s">
        <v>410</v>
      </c>
      <c r="C298" s="77" t="str">
        <f t="shared" si="8"/>
        <v>Мурманск - Оленегорск - Мончегорск - Апатиты - Кировск - Мурманск</v>
      </c>
      <c r="D298" s="83">
        <v>445</v>
      </c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</row>
    <row r="299" spans="1:24" ht="13.5" customHeight="1">
      <c r="A299" s="77" t="s">
        <v>401</v>
      </c>
      <c r="B299" s="77" t="s">
        <v>411</v>
      </c>
      <c r="C299" s="77" t="str">
        <f t="shared" si="8"/>
        <v>Мурманск - Полярные Зори - Кировск - Апатиты - Мурманск</v>
      </c>
      <c r="D299" s="83">
        <v>534</v>
      </c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</row>
    <row r="300" spans="1:24" ht="13.5" customHeight="1">
      <c r="A300" s="97" t="s">
        <v>274</v>
      </c>
      <c r="B300" s="116" t="s">
        <v>412</v>
      </c>
      <c r="C300" s="77" t="str">
        <f t="shared" si="8"/>
        <v>Набережные Челны - Альметьевск - Набережные Челны</v>
      </c>
      <c r="D300" s="86">
        <v>228</v>
      </c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</row>
    <row r="301" spans="1:24" ht="13.5" customHeight="1">
      <c r="A301" s="97" t="s">
        <v>274</v>
      </c>
      <c r="B301" s="116" t="s">
        <v>413</v>
      </c>
      <c r="C301" s="77" t="str">
        <f t="shared" si="8"/>
        <v>Набережные Челны - Мамадыш - Балтаси - Набережные Челны</v>
      </c>
      <c r="D301" s="86">
        <v>431</v>
      </c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</row>
    <row r="302" spans="1:24" ht="13.5" customHeight="1">
      <c r="A302" s="97" t="s">
        <v>274</v>
      </c>
      <c r="B302" s="116" t="s">
        <v>254</v>
      </c>
      <c r="C302" s="77" t="str">
        <f t="shared" si="8"/>
        <v>Набережные Челны - Ижевск - Набережные Челны</v>
      </c>
      <c r="D302" s="86">
        <v>406</v>
      </c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</row>
    <row r="303" spans="1:24" ht="13.5" customHeight="1">
      <c r="A303" s="97" t="s">
        <v>274</v>
      </c>
      <c r="B303" s="116" t="s">
        <v>414</v>
      </c>
      <c r="C303" s="77" t="str">
        <f t="shared" si="8"/>
        <v>Набережные Челны - Нижнекамск - Набережные Челны</v>
      </c>
      <c r="D303" s="86">
        <v>99</v>
      </c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</row>
    <row r="304" spans="1:24" ht="13.5" customHeight="1">
      <c r="A304" s="97" t="s">
        <v>274</v>
      </c>
      <c r="B304" s="116" t="s">
        <v>415</v>
      </c>
      <c r="C304" s="77" t="str">
        <f t="shared" si="8"/>
        <v>Набережные Челны - Муслюмово - Заинск - Набережные Челны</v>
      </c>
      <c r="D304" s="83">
        <v>271</v>
      </c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</row>
    <row r="305" spans="1:24" ht="13.5" customHeight="1">
      <c r="A305" s="97" t="s">
        <v>274</v>
      </c>
      <c r="B305" s="116" t="s">
        <v>416</v>
      </c>
      <c r="C305" s="77" t="str">
        <f t="shared" si="8"/>
        <v>Набережные Челны - Нижнекамск - Заинск - Набережные Челны</v>
      </c>
      <c r="D305" s="83">
        <v>172</v>
      </c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</row>
    <row r="306" spans="1:24" ht="13.5" customHeight="1">
      <c r="A306" s="97" t="s">
        <v>274</v>
      </c>
      <c r="B306" s="116" t="s">
        <v>417</v>
      </c>
      <c r="C306" s="77" t="str">
        <f t="shared" si="8"/>
        <v>Набережные Челны - Нижнекамск - Камские Поляны - Набережные Челны</v>
      </c>
      <c r="D306" s="83">
        <v>189</v>
      </c>
      <c r="E306" s="84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</row>
    <row r="307" spans="1:24" ht="13.5" customHeight="1">
      <c r="A307" s="97" t="s">
        <v>274</v>
      </c>
      <c r="B307" s="82" t="s">
        <v>418</v>
      </c>
      <c r="C307" s="77" t="str">
        <f t="shared" si="8"/>
        <v>Набережные Челны - Мамадыш - Кукмор - Набережные Челны</v>
      </c>
      <c r="D307" s="83">
        <v>323</v>
      </c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</row>
    <row r="308" spans="1:24" ht="13.5" customHeight="1">
      <c r="A308" s="77" t="s">
        <v>419</v>
      </c>
      <c r="B308" s="82" t="s">
        <v>420</v>
      </c>
      <c r="C308" s="77" t="str">
        <f t="shared" si="8"/>
        <v>Новокузнецк - Междуреченск - Новокузнецк</v>
      </c>
      <c r="D308" s="83">
        <v>157</v>
      </c>
      <c r="E308" s="85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</row>
    <row r="309" spans="1:24" ht="13.5" customHeight="1">
      <c r="A309" s="77" t="s">
        <v>419</v>
      </c>
      <c r="B309" s="82" t="s">
        <v>421</v>
      </c>
      <c r="C309" s="77" t="str">
        <f t="shared" si="8"/>
        <v>Новокузнецк - Междуреченск - Мыски - Новокузнецк</v>
      </c>
      <c r="D309" s="86">
        <v>157</v>
      </c>
      <c r="E309" s="85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</row>
    <row r="310" spans="1:24" ht="13.5" customHeight="1">
      <c r="A310" s="77" t="s">
        <v>419</v>
      </c>
      <c r="B310" s="77" t="s">
        <v>422</v>
      </c>
      <c r="C310" s="77" t="str">
        <f t="shared" si="8"/>
        <v>Новокузнецк - Киселёвск - Новокузнецк</v>
      </c>
      <c r="D310" s="105">
        <v>120</v>
      </c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</row>
    <row r="311" spans="1:24" ht="13.5" customHeight="1">
      <c r="A311" s="77" t="s">
        <v>419</v>
      </c>
      <c r="B311" s="77" t="s">
        <v>423</v>
      </c>
      <c r="C311" s="77" t="str">
        <f t="shared" si="8"/>
        <v>Новокузнецк - Киселёвск - Прокопьевск - Новокузнецк</v>
      </c>
      <c r="D311" s="105">
        <v>118</v>
      </c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</row>
    <row r="312" spans="1:24" ht="13.5" customHeight="1">
      <c r="A312" s="77" t="s">
        <v>419</v>
      </c>
      <c r="B312" s="77" t="s">
        <v>424</v>
      </c>
      <c r="C312" s="77" t="str">
        <f t="shared" si="8"/>
        <v>Новокузнецк - Осинники - Новокузнецк</v>
      </c>
      <c r="D312" s="105">
        <v>63</v>
      </c>
      <c r="E312" s="84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</row>
    <row r="313" spans="1:24" ht="13.5" customHeight="1">
      <c r="A313" s="77" t="s">
        <v>419</v>
      </c>
      <c r="B313" s="77" t="s">
        <v>425</v>
      </c>
      <c r="C313" s="77" t="str">
        <f t="shared" si="8"/>
        <v>Новокузнецк - Осинники - Калтан - Новокузнецк</v>
      </c>
      <c r="D313" s="105">
        <v>92</v>
      </c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</row>
    <row r="314" spans="1:24" ht="13.5" customHeight="1">
      <c r="A314" s="77" t="s">
        <v>426</v>
      </c>
      <c r="B314" s="77" t="s">
        <v>102</v>
      </c>
      <c r="C314" s="77" t="str">
        <f t="shared" si="8"/>
        <v>Новосибирск - Барнаул - Новосибирск</v>
      </c>
      <c r="D314" s="86">
        <v>465</v>
      </c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</row>
    <row r="315" spans="1:24" ht="13.5" customHeight="1">
      <c r="A315" s="97" t="s">
        <v>426</v>
      </c>
      <c r="B315" s="116" t="s">
        <v>427</v>
      </c>
      <c r="C315" s="77" t="str">
        <f t="shared" si="8"/>
        <v>Новосибирск - Барнаул - Бийск - Новосибирск</v>
      </c>
      <c r="D315" s="86">
        <v>742</v>
      </c>
      <c r="E315" s="84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</row>
    <row r="316" spans="1:24" ht="13.5" customHeight="1">
      <c r="A316" s="97" t="s">
        <v>426</v>
      </c>
      <c r="B316" s="97" t="s">
        <v>428</v>
      </c>
      <c r="C316" s="77" t="str">
        <f t="shared" si="8"/>
        <v>Новосибирск - Бердск - Новосибирск</v>
      </c>
      <c r="D316" s="86">
        <v>75</v>
      </c>
      <c r="E316" s="85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</row>
    <row r="317" spans="1:24" ht="13.5" customHeight="1">
      <c r="A317" s="97" t="s">
        <v>426</v>
      </c>
      <c r="B317" s="97" t="s">
        <v>429</v>
      </c>
      <c r="C317" s="77" t="str">
        <f t="shared" si="8"/>
        <v>Новосибирск - Искитим - Новосибирск</v>
      </c>
      <c r="D317" s="86">
        <v>116</v>
      </c>
      <c r="E317" s="84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</row>
    <row r="318" spans="1:24" ht="13.5" customHeight="1">
      <c r="A318" s="77" t="s">
        <v>426</v>
      </c>
      <c r="B318" s="77" t="s">
        <v>430</v>
      </c>
      <c r="C318" s="77" t="str">
        <f t="shared" si="8"/>
        <v>Новосибирск - Искитим - Линёво - Новосибирск</v>
      </c>
      <c r="D318" s="80">
        <v>160</v>
      </c>
      <c r="E318" s="84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</row>
    <row r="319" spans="1:24" ht="13.5" customHeight="1">
      <c r="A319" s="77" t="s">
        <v>426</v>
      </c>
      <c r="B319" s="82" t="s">
        <v>431</v>
      </c>
      <c r="C319" s="77" t="str">
        <f t="shared" si="8"/>
        <v>Новосибирск - Новосибирск - Искитим - Линёво - Новосибирск</v>
      </c>
      <c r="D319" s="83">
        <v>180</v>
      </c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</row>
    <row r="320" spans="1:24" ht="13.5" customHeight="1">
      <c r="A320" s="77" t="s">
        <v>426</v>
      </c>
      <c r="B320" s="82" t="s">
        <v>432</v>
      </c>
      <c r="C320" s="77" t="str">
        <f t="shared" si="8"/>
        <v>Новосибирск - Искитим - Линёво - Черепаново - Новосибирск</v>
      </c>
      <c r="D320" s="83">
        <v>224</v>
      </c>
      <c r="E320" s="85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</row>
    <row r="321" spans="1:24" ht="13.5" customHeight="1">
      <c r="A321" s="97" t="s">
        <v>426</v>
      </c>
      <c r="B321" s="77" t="s">
        <v>301</v>
      </c>
      <c r="C321" s="77" t="str">
        <f t="shared" si="8"/>
        <v>Новосибирск - Кемерово - Новосибирск</v>
      </c>
      <c r="D321" s="86">
        <v>521</v>
      </c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</row>
    <row r="322" spans="1:24" ht="13.5" customHeight="1">
      <c r="A322" s="97" t="s">
        <v>426</v>
      </c>
      <c r="B322" s="116" t="s">
        <v>433</v>
      </c>
      <c r="C322" s="77" t="str">
        <f t="shared" si="8"/>
        <v>Новосибирск - Кемерово - Новокузнецк - Новосибирск</v>
      </c>
      <c r="D322" s="86">
        <v>852</v>
      </c>
      <c r="E322" s="84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</row>
    <row r="323" spans="1:24" ht="13.5" customHeight="1">
      <c r="A323" s="97" t="s">
        <v>426</v>
      </c>
      <c r="B323" s="77" t="s">
        <v>434</v>
      </c>
      <c r="C323" s="77" t="str">
        <f t="shared" si="8"/>
        <v>Новосибирск - Кемерово - Новокузнецк - Томск - Новосибирск</v>
      </c>
      <c r="D323" s="86">
        <v>1167</v>
      </c>
      <c r="E323" s="84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</row>
    <row r="324" spans="1:24" ht="13.5" customHeight="1">
      <c r="A324" s="77" t="s">
        <v>426</v>
      </c>
      <c r="B324" s="82" t="s">
        <v>435</v>
      </c>
      <c r="C324" s="77" t="str">
        <f t="shared" si="8"/>
        <v>Новосибирск - Кемерово - Томск - Новосибирск</v>
      </c>
      <c r="D324" s="86">
        <v>736</v>
      </c>
      <c r="E324" s="85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</row>
    <row r="325" spans="1:24" ht="13.5" customHeight="1">
      <c r="A325" s="77" t="s">
        <v>426</v>
      </c>
      <c r="B325" s="82" t="s">
        <v>436</v>
      </c>
      <c r="C325" s="77" t="str">
        <f t="shared" si="8"/>
        <v>Новосибирск - Кемерово - Юрга - Новосибирск</v>
      </c>
      <c r="D325" s="86">
        <v>532</v>
      </c>
      <c r="E325" s="85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</row>
    <row r="326" spans="1:24" ht="13.5" customHeight="1">
      <c r="A326" s="77" t="s">
        <v>426</v>
      </c>
      <c r="B326" s="77" t="s">
        <v>437</v>
      </c>
      <c r="C326" s="77" t="str">
        <f t="shared" si="8"/>
        <v>Новосибирск - Коченево - Чик - Новосибирск</v>
      </c>
      <c r="D326" s="86">
        <v>104</v>
      </c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</row>
    <row r="327" spans="1:24" ht="13.5" customHeight="1">
      <c r="A327" s="77" t="s">
        <v>426</v>
      </c>
      <c r="B327" s="77" t="s">
        <v>438</v>
      </c>
      <c r="C327" s="77" t="str">
        <f t="shared" si="8"/>
        <v>Новосибирск - Коченево - Чик - Обь - Новосибирск</v>
      </c>
      <c r="D327" s="105">
        <v>115</v>
      </c>
      <c r="E327" s="85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</row>
    <row r="328" spans="1:24" ht="13.5" customHeight="1">
      <c r="A328" s="77" t="s">
        <v>426</v>
      </c>
      <c r="B328" s="104" t="s">
        <v>439</v>
      </c>
      <c r="C328" s="77" t="str">
        <f t="shared" si="8"/>
        <v>Новосибирск - Колывань - Кудряшовский - Криводановка - Марусино - Дивногорский - Новосибирск</v>
      </c>
      <c r="D328" s="105">
        <v>117</v>
      </c>
      <c r="E328" s="85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</row>
    <row r="329" spans="1:24" ht="13.5" customHeight="1">
      <c r="A329" s="77" t="s">
        <v>426</v>
      </c>
      <c r="B329" s="104" t="s">
        <v>440</v>
      </c>
      <c r="C329" s="77" t="str">
        <f t="shared" si="8"/>
        <v>Новосибирск - Колывань - Кудряшовский - Криводановка - Марусино - Новосибирск</v>
      </c>
      <c r="D329" s="86">
        <v>116</v>
      </c>
      <c r="E329" s="85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</row>
    <row r="330" spans="1:24" ht="13.5" customHeight="1">
      <c r="A330" s="77" t="s">
        <v>426</v>
      </c>
      <c r="B330" s="82" t="s">
        <v>319</v>
      </c>
      <c r="C330" s="77" t="str">
        <f t="shared" si="8"/>
        <v>Новосибирск - Красноярск - Новосибирск</v>
      </c>
      <c r="D330" s="86">
        <v>1580</v>
      </c>
      <c r="E330" s="85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</row>
    <row r="331" spans="1:24" ht="13.5" customHeight="1">
      <c r="A331" s="77" t="s">
        <v>426</v>
      </c>
      <c r="B331" s="82" t="s">
        <v>441</v>
      </c>
      <c r="C331" s="77" t="s">
        <v>442</v>
      </c>
      <c r="D331" s="105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</row>
    <row r="332" spans="1:24" ht="13.5" customHeight="1">
      <c r="A332" s="77" t="s">
        <v>426</v>
      </c>
      <c r="B332" s="82" t="s">
        <v>419</v>
      </c>
      <c r="C332" s="77" t="str">
        <f t="shared" ref="C332:C381" si="9">CONCATENATE(A332," - ",B332," - ",A332)</f>
        <v>Новосибирск - Новокузнецк - Новосибирск</v>
      </c>
      <c r="D332" s="105">
        <v>741</v>
      </c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</row>
    <row r="333" spans="1:24" ht="13.5" customHeight="1">
      <c r="A333" s="77" t="s">
        <v>426</v>
      </c>
      <c r="B333" s="104" t="s">
        <v>443</v>
      </c>
      <c r="C333" s="77" t="str">
        <f t="shared" si="9"/>
        <v>Новосибирск - Обь - Прокудское - Чик - Коченёво - Толмачёво - Новосибирск</v>
      </c>
      <c r="D333" s="105">
        <v>124</v>
      </c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</row>
    <row r="334" spans="1:24">
      <c r="A334" s="77" t="s">
        <v>426</v>
      </c>
      <c r="B334" s="82" t="s">
        <v>444</v>
      </c>
      <c r="C334" s="77" t="str">
        <f t="shared" si="9"/>
        <v>Новосибирск - Омск - Новосибирск</v>
      </c>
      <c r="D334" s="86">
        <v>1303</v>
      </c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</row>
    <row r="335" spans="1:24" ht="13.5" customHeight="1">
      <c r="A335" s="97" t="s">
        <v>426</v>
      </c>
      <c r="B335" s="116" t="s">
        <v>445</v>
      </c>
      <c r="C335" s="77" t="str">
        <f t="shared" si="9"/>
        <v>Новосибирск - Томск - Новосибирск</v>
      </c>
      <c r="D335" s="86">
        <v>518</v>
      </c>
      <c r="E335" s="9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</row>
    <row r="336" spans="1:24" ht="13.5" customHeight="1">
      <c r="A336" s="97" t="s">
        <v>426</v>
      </c>
      <c r="B336" s="116" t="s">
        <v>446</v>
      </c>
      <c r="C336" s="77" t="str">
        <f t="shared" si="9"/>
        <v>Новосибирск - Томск - Новокузнецк - Новосибирск</v>
      </c>
      <c r="D336" s="80">
        <v>1056</v>
      </c>
      <c r="E336" s="9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</row>
    <row r="337" spans="1:24" ht="13.5" customHeight="1">
      <c r="A337" s="77" t="s">
        <v>444</v>
      </c>
      <c r="B337" s="117" t="s">
        <v>447</v>
      </c>
      <c r="C337" s="77" t="str">
        <f t="shared" si="9"/>
        <v>Омск - Новосибирск - Барнаул - Бийск - Новосибирск - Томск - Новосибирск - Кемерово - Новосибирск - Омск</v>
      </c>
      <c r="D337" s="80">
        <v>3060</v>
      </c>
      <c r="E337" s="9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</row>
    <row r="338" spans="1:24" ht="13.5" customHeight="1">
      <c r="A338" s="82" t="s">
        <v>448</v>
      </c>
      <c r="B338" s="82" t="s">
        <v>449</v>
      </c>
      <c r="C338" s="77" t="str">
        <f t="shared" si="9"/>
        <v>Орёл - Железногорск - Орёл</v>
      </c>
      <c r="D338" s="83">
        <v>199</v>
      </c>
      <c r="E338" s="9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</row>
    <row r="339" spans="1:24" ht="13.5" customHeight="1">
      <c r="A339" s="82" t="s">
        <v>448</v>
      </c>
      <c r="B339" s="82" t="s">
        <v>450</v>
      </c>
      <c r="C339" s="77" t="str">
        <f t="shared" si="9"/>
        <v>Орёл - Курск - Орёл</v>
      </c>
      <c r="D339" s="83">
        <v>328</v>
      </c>
      <c r="E339" s="9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</row>
    <row r="340" spans="1:24" ht="13.5" customHeight="1">
      <c r="A340" s="82" t="s">
        <v>448</v>
      </c>
      <c r="B340" s="118" t="s">
        <v>451</v>
      </c>
      <c r="C340" s="77" t="str">
        <f t="shared" si="9"/>
        <v>Орёл - Ливны - Орёл</v>
      </c>
      <c r="D340" s="83">
        <v>278</v>
      </c>
      <c r="E340" s="9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</row>
    <row r="341" spans="1:24" ht="13.5" customHeight="1">
      <c r="A341" s="82" t="s">
        <v>448</v>
      </c>
      <c r="B341" s="119" t="s">
        <v>452</v>
      </c>
      <c r="C341" s="77" t="str">
        <f t="shared" si="9"/>
        <v>Орёл - Болхов - Орёл</v>
      </c>
      <c r="D341" s="83">
        <v>125</v>
      </c>
      <c r="E341" s="9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</row>
    <row r="342" spans="1:24" ht="13.5" customHeight="1">
      <c r="A342" s="77" t="s">
        <v>453</v>
      </c>
      <c r="B342" s="82" t="s">
        <v>62</v>
      </c>
      <c r="C342" s="77" t="str">
        <f t="shared" si="9"/>
        <v>Оренбург - Бузулук - Оренбург</v>
      </c>
      <c r="D342" s="80">
        <v>503</v>
      </c>
      <c r="E342" s="9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</row>
    <row r="343" spans="1:24" ht="13.5" customHeight="1">
      <c r="A343" s="77" t="s">
        <v>453</v>
      </c>
      <c r="B343" s="82" t="s">
        <v>454</v>
      </c>
      <c r="C343" s="77" t="str">
        <f t="shared" si="9"/>
        <v>Оренбург - Переволоцкий - Новосергиевка - Оренбург</v>
      </c>
      <c r="D343" s="115">
        <v>240</v>
      </c>
      <c r="E343" s="9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</row>
    <row r="344" spans="1:24" ht="13.5" customHeight="1">
      <c r="A344" s="77" t="s">
        <v>453</v>
      </c>
      <c r="B344" s="82" t="s">
        <v>455</v>
      </c>
      <c r="C344" s="77" t="str">
        <f t="shared" si="9"/>
        <v>Оренбург - Самородово - Беляевка - Оренбург</v>
      </c>
      <c r="D344" s="115">
        <v>223</v>
      </c>
      <c r="E344" s="9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</row>
    <row r="345" spans="1:24" ht="13.5" customHeight="1">
      <c r="A345" s="77" t="s">
        <v>453</v>
      </c>
      <c r="B345" s="82" t="s">
        <v>456</v>
      </c>
      <c r="C345" s="77" t="str">
        <f t="shared" si="9"/>
        <v>Оренбург - Сорочинск- Бузулук - Оренбург</v>
      </c>
      <c r="D345" s="115">
        <v>510</v>
      </c>
      <c r="E345" s="9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</row>
    <row r="346" spans="1:24" ht="13.5" customHeight="1">
      <c r="A346" s="77" t="s">
        <v>453</v>
      </c>
      <c r="B346" s="82" t="s">
        <v>457</v>
      </c>
      <c r="C346" s="77" t="str">
        <f t="shared" si="9"/>
        <v>Оренбург - Грачёвка - Бузулук - Курманаевка - Оренбург</v>
      </c>
      <c r="D346" s="115">
        <v>601</v>
      </c>
      <c r="E346" s="9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</row>
    <row r="347" spans="1:24" ht="13.5" customHeight="1">
      <c r="A347" s="77" t="s">
        <v>453</v>
      </c>
      <c r="B347" s="119" t="s">
        <v>458</v>
      </c>
      <c r="C347" s="77" t="str">
        <f t="shared" si="9"/>
        <v>Оренбург - Грачевка - Бузулук - Курманаевка -Тоцкое - Оренбург</v>
      </c>
      <c r="D347" s="115">
        <v>602</v>
      </c>
      <c r="E347" s="85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</row>
    <row r="348" spans="1:24" ht="13.5" customHeight="1">
      <c r="A348" s="77" t="s">
        <v>453</v>
      </c>
      <c r="B348" s="82" t="s">
        <v>459</v>
      </c>
      <c r="C348" s="77" t="str">
        <f t="shared" si="9"/>
        <v>Оренбург - имени 9 Января - Нижняя Павловка - Краснохолм - Кардаилово - Илек - Оренбург</v>
      </c>
      <c r="D348" s="115">
        <v>264</v>
      </c>
      <c r="E348" s="85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</row>
    <row r="349" spans="1:24" ht="13.5" customHeight="1">
      <c r="A349" s="77" t="s">
        <v>453</v>
      </c>
      <c r="B349" s="82" t="s">
        <v>460</v>
      </c>
      <c r="C349" s="77" t="str">
        <f t="shared" si="9"/>
        <v>Оренбург - имени 9 Января - Нижняя Павловка - Кардаилово - Илек  - Оренбург</v>
      </c>
      <c r="D349" s="115">
        <v>261</v>
      </c>
      <c r="E349" s="85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</row>
    <row r="350" spans="1:24" ht="13.5" customHeight="1">
      <c r="A350" s="77" t="s">
        <v>453</v>
      </c>
      <c r="B350" s="82" t="s">
        <v>461</v>
      </c>
      <c r="C350" s="77" t="str">
        <f t="shared" si="9"/>
        <v>Оренбург - Черноречье - имени 9 Января - Первомайский  - Соль-Илецк - Акбулак - Оренбург</v>
      </c>
      <c r="D350" s="115">
        <v>320</v>
      </c>
      <c r="E350" s="85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</row>
    <row r="351" spans="1:24" ht="13.5" customHeight="1">
      <c r="A351" s="77" t="s">
        <v>453</v>
      </c>
      <c r="B351" s="82" t="s">
        <v>462</v>
      </c>
      <c r="C351" s="77" t="str">
        <f t="shared" si="9"/>
        <v>Оренбург - Пос. Каргала- Переволоцкий-Новосергиевка - Оренбург</v>
      </c>
      <c r="D351" s="115">
        <v>250</v>
      </c>
      <c r="E351" s="9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</row>
    <row r="352" spans="1:24" ht="13.5" customHeight="1">
      <c r="A352" s="77" t="s">
        <v>453</v>
      </c>
      <c r="B352" s="82" t="s">
        <v>463</v>
      </c>
      <c r="C352" s="77" t="str">
        <f t="shared" si="9"/>
        <v>Оренбург - Пригородный- Нежинка- Саракташ - Оренбург</v>
      </c>
      <c r="D352" s="115">
        <v>194</v>
      </c>
      <c r="E352" s="85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</row>
    <row r="353" spans="1:24" ht="13.5" customHeight="1">
      <c r="A353" s="77" t="s">
        <v>453</v>
      </c>
      <c r="B353" s="82" t="s">
        <v>464</v>
      </c>
      <c r="C353" s="77" t="str">
        <f t="shared" si="9"/>
        <v>Оренбург - пос.Ленина-Сакмара-Октябрьское - Оренбург</v>
      </c>
      <c r="D353" s="115">
        <v>174</v>
      </c>
      <c r="E353" s="85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</row>
    <row r="354" spans="1:24" ht="13.5" customHeight="1">
      <c r="A354" s="77" t="s">
        <v>453</v>
      </c>
      <c r="B354" s="82" t="s">
        <v>465</v>
      </c>
      <c r="C354" s="77" t="str">
        <f t="shared" si="9"/>
        <v>Оренбург - Соль-Илецк - Оренбург</v>
      </c>
      <c r="D354" s="115">
        <v>146</v>
      </c>
      <c r="E354" s="84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</row>
    <row r="355" spans="1:24" ht="13.5" customHeight="1">
      <c r="A355" s="77" t="s">
        <v>453</v>
      </c>
      <c r="B355" s="82" t="s">
        <v>466</v>
      </c>
      <c r="C355" s="77" t="str">
        <f t="shared" si="9"/>
        <v>Оренбург - Соль-Илецк - Акбулак - Оренбург</v>
      </c>
      <c r="D355" s="83">
        <v>246</v>
      </c>
      <c r="E355" s="84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</row>
    <row r="356" spans="1:24" ht="13.5" customHeight="1">
      <c r="A356" s="77" t="s">
        <v>453</v>
      </c>
      <c r="B356" s="82" t="s">
        <v>276</v>
      </c>
      <c r="C356" s="77" t="str">
        <f t="shared" si="9"/>
        <v>Оренбург - Самара - Оренбург</v>
      </c>
      <c r="D356" s="83">
        <v>830</v>
      </c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</row>
    <row r="357" spans="1:24" ht="13.5" customHeight="1">
      <c r="A357" s="77" t="s">
        <v>453</v>
      </c>
      <c r="B357" s="82" t="s">
        <v>467</v>
      </c>
      <c r="C357" s="77" t="str">
        <f t="shared" si="9"/>
        <v>Оренбург - Саракташ - Оренбург</v>
      </c>
      <c r="D357" s="83">
        <v>191</v>
      </c>
      <c r="E357" s="85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</row>
    <row r="358" spans="1:24" ht="13.5" customHeight="1">
      <c r="A358" s="77" t="s">
        <v>453</v>
      </c>
      <c r="B358" s="82" t="s">
        <v>468</v>
      </c>
      <c r="C358" s="77" t="str">
        <f t="shared" si="9"/>
        <v>Оренбург - Сорочинск - Новосергиевка - Оренбург</v>
      </c>
      <c r="D358" s="83">
        <v>343</v>
      </c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</row>
    <row r="359" spans="1:24" ht="13.5" customHeight="1">
      <c r="A359" s="77" t="s">
        <v>453</v>
      </c>
      <c r="B359" s="120" t="s">
        <v>469</v>
      </c>
      <c r="C359" s="77" t="str">
        <f t="shared" si="9"/>
        <v>Оренбург - Переволоцкий - Новосергиевка - Сорочинск - Оренбург</v>
      </c>
      <c r="D359" s="83">
        <v>350</v>
      </c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</row>
    <row r="360" spans="1:24" ht="13.5" customHeight="1">
      <c r="A360" s="77" t="s">
        <v>453</v>
      </c>
      <c r="B360" s="121" t="s">
        <v>470</v>
      </c>
      <c r="C360" s="77" t="str">
        <f t="shared" si="9"/>
        <v>Оренбург - Переволоцк - Новосергиевка - Сорочинск - Плешаново - Оренбург</v>
      </c>
      <c r="D360" s="83">
        <v>478</v>
      </c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</row>
    <row r="361" spans="1:24" ht="13.5" customHeight="1">
      <c r="A361" s="77" t="s">
        <v>453</v>
      </c>
      <c r="B361" s="122" t="s">
        <v>471</v>
      </c>
      <c r="C361" s="77" t="str">
        <f t="shared" si="9"/>
        <v>Оренбург - Нижняя Павловка - Краснохолм - Илек - Оренбург</v>
      </c>
      <c r="D361" s="83">
        <v>260</v>
      </c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</row>
    <row r="362" spans="1:24" ht="13.5" customHeight="1">
      <c r="A362" s="77" t="s">
        <v>453</v>
      </c>
      <c r="B362" s="122" t="s">
        <v>472</v>
      </c>
      <c r="C362" s="77" t="str">
        <f t="shared" si="9"/>
        <v>Оренбург - Новосергиевка - Сорочинск - Бузулук - Грачевка - Оренбург</v>
      </c>
      <c r="D362" s="83">
        <v>559</v>
      </c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</row>
    <row r="363" spans="1:24" ht="13.5" customHeight="1">
      <c r="A363" s="77" t="s">
        <v>453</v>
      </c>
      <c r="B363" s="122" t="s">
        <v>473</v>
      </c>
      <c r="C363" s="77" t="str">
        <f t="shared" si="9"/>
        <v>Оренбург - Новосергиевка - Сорочинск - Курманаевка - Бузулук - Грачевка - Оренбург</v>
      </c>
      <c r="D363" s="83">
        <v>612</v>
      </c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</row>
    <row r="364" spans="1:24" ht="13.5" customHeight="1">
      <c r="A364" s="77" t="s">
        <v>453</v>
      </c>
      <c r="B364" s="82" t="s">
        <v>474</v>
      </c>
      <c r="C364" s="77" t="str">
        <f t="shared" si="9"/>
        <v>Оренбург - Сакмара - Октябрьское - Оренбург</v>
      </c>
      <c r="D364" s="83">
        <v>170</v>
      </c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</row>
    <row r="365" spans="1:24" ht="13.5" customHeight="1">
      <c r="A365" s="77" t="s">
        <v>453</v>
      </c>
      <c r="B365" s="82" t="s">
        <v>475</v>
      </c>
      <c r="C365" s="77" t="str">
        <f t="shared" si="9"/>
        <v>Оренбург - Сорочинск - Новосергиевка - Переволоцкий - Оренбург</v>
      </c>
      <c r="D365" s="83">
        <v>350</v>
      </c>
      <c r="E365" s="85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</row>
    <row r="366" spans="1:24" ht="13.5" customHeight="1">
      <c r="A366" s="77" t="s">
        <v>453</v>
      </c>
      <c r="B366" s="85" t="s">
        <v>476</v>
      </c>
      <c r="C366" s="77" t="str">
        <f t="shared" si="9"/>
        <v>Оренбург - Курманаевка - Бузулук - Грачёвка - Оренбург</v>
      </c>
      <c r="D366" s="83">
        <v>594</v>
      </c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</row>
    <row r="367" spans="1:24" ht="13.5" customHeight="1">
      <c r="A367" s="77" t="s">
        <v>453</v>
      </c>
      <c r="B367" s="82" t="s">
        <v>477</v>
      </c>
      <c r="C367" s="77" t="str">
        <f t="shared" si="9"/>
        <v>Оренбург - Курманаевка - Бузулук - Колтубановский - Грачёвка - Оренбург</v>
      </c>
      <c r="D367" s="83">
        <v>650</v>
      </c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</row>
    <row r="368" spans="1:24" ht="13.5" customHeight="1">
      <c r="A368" s="77" t="s">
        <v>453</v>
      </c>
      <c r="B368" s="82" t="s">
        <v>478</v>
      </c>
      <c r="C368" s="77" t="str">
        <f t="shared" si="9"/>
        <v>Оренбург - Краснохолм - Илек - Оренбург</v>
      </c>
      <c r="D368" s="83">
        <v>261</v>
      </c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</row>
    <row r="369" spans="1:24" ht="13.5" customHeight="1">
      <c r="A369" s="77" t="s">
        <v>453</v>
      </c>
      <c r="B369" s="82" t="s">
        <v>479</v>
      </c>
      <c r="C369" s="77" t="str">
        <f t="shared" si="9"/>
        <v>Оренбург - Краснохолм - Илек - Ташла - Оренбург</v>
      </c>
      <c r="D369" s="83">
        <v>381</v>
      </c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</row>
    <row r="370" spans="1:24" ht="13.5" customHeight="1">
      <c r="A370" s="82" t="s">
        <v>480</v>
      </c>
      <c r="B370" s="82" t="s">
        <v>481</v>
      </c>
      <c r="C370" s="77" t="str">
        <f t="shared" si="9"/>
        <v>Пенза - Городище - Пенза</v>
      </c>
      <c r="D370" s="83">
        <v>103</v>
      </c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</row>
    <row r="371" spans="1:24" ht="13.5" customHeight="1">
      <c r="A371" s="82" t="s">
        <v>480</v>
      </c>
      <c r="B371" s="82" t="s">
        <v>482</v>
      </c>
      <c r="C371" s="77" t="str">
        <f t="shared" si="9"/>
        <v>Пенза - Кузнецк - Пенза</v>
      </c>
      <c r="D371" s="83">
        <v>246</v>
      </c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</row>
    <row r="372" spans="1:24" ht="13.5" customHeight="1">
      <c r="A372" s="82" t="s">
        <v>480</v>
      </c>
      <c r="B372" s="82" t="s">
        <v>277</v>
      </c>
      <c r="C372" s="77" t="str">
        <f t="shared" si="9"/>
        <v>Пенза - Саранск - Пенза</v>
      </c>
      <c r="D372" s="83">
        <v>297</v>
      </c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</row>
    <row r="373" spans="1:24" ht="13.5" customHeight="1">
      <c r="A373" s="97" t="s">
        <v>218</v>
      </c>
      <c r="B373" s="116" t="s">
        <v>483</v>
      </c>
      <c r="C373" s="77" t="str">
        <f t="shared" si="9"/>
        <v>Пермь - Березники - Соликамск - Пермь</v>
      </c>
      <c r="D373" s="83">
        <v>418</v>
      </c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</row>
    <row r="374" spans="1:24" ht="13.5" customHeight="1">
      <c r="A374" s="97" t="s">
        <v>218</v>
      </c>
      <c r="B374" s="82" t="s">
        <v>484</v>
      </c>
      <c r="C374" s="77" t="str">
        <f t="shared" si="9"/>
        <v>Пермь - Кунгур - Пермь</v>
      </c>
      <c r="D374" s="91">
        <v>182</v>
      </c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</row>
    <row r="375" spans="1:24" ht="13.5" customHeight="1">
      <c r="A375" s="97" t="s">
        <v>218</v>
      </c>
      <c r="B375" s="82" t="s">
        <v>485</v>
      </c>
      <c r="C375" s="77" t="str">
        <f t="shared" si="9"/>
        <v>Пермь - Кудымкар - Карагай - Краснокамск - Пермь</v>
      </c>
      <c r="D375" s="91">
        <v>394</v>
      </c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</row>
    <row r="376" spans="1:24" ht="13.5" customHeight="1">
      <c r="A376" s="77" t="s">
        <v>486</v>
      </c>
      <c r="B376" s="82" t="s">
        <v>139</v>
      </c>
      <c r="C376" s="77" t="str">
        <f t="shared" si="9"/>
        <v>Подольск - Владимир - Подольск</v>
      </c>
      <c r="D376" s="83">
        <v>436</v>
      </c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</row>
    <row r="377" spans="1:24" ht="13.5" customHeight="1">
      <c r="A377" s="77" t="s">
        <v>486</v>
      </c>
      <c r="B377" s="82" t="s">
        <v>487</v>
      </c>
      <c r="C377" s="77" t="str">
        <f t="shared" si="9"/>
        <v>Подольск - Кашира - Подольск</v>
      </c>
      <c r="D377" s="83">
        <v>194</v>
      </c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</row>
    <row r="378" spans="1:24" ht="13.5" customHeight="1">
      <c r="A378" s="77" t="s">
        <v>486</v>
      </c>
      <c r="B378" s="82" t="s">
        <v>488</v>
      </c>
      <c r="C378" s="77" t="str">
        <f t="shared" si="9"/>
        <v>Подольск - Кашира - Ступино - Подольск</v>
      </c>
      <c r="D378" s="83">
        <v>197</v>
      </c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</row>
    <row r="379" spans="1:24" ht="13.5" customHeight="1">
      <c r="A379" s="77" t="s">
        <v>486</v>
      </c>
      <c r="B379" s="82" t="s">
        <v>381</v>
      </c>
      <c r="C379" s="77" t="str">
        <f t="shared" si="9"/>
        <v>Подольск - Кострома - Подольск</v>
      </c>
      <c r="D379" s="83">
        <v>770</v>
      </c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</row>
    <row r="380" spans="1:24" ht="13.5" customHeight="1">
      <c r="A380" s="77" t="s">
        <v>486</v>
      </c>
      <c r="B380" s="82" t="s">
        <v>489</v>
      </c>
      <c r="C380" s="77" t="str">
        <f t="shared" si="9"/>
        <v>Подольск - Ступино - Подольск</v>
      </c>
      <c r="D380" s="83">
        <v>176</v>
      </c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</row>
    <row r="381" spans="1:24" ht="13.5" customHeight="1">
      <c r="A381" s="77" t="s">
        <v>486</v>
      </c>
      <c r="B381" s="82" t="s">
        <v>490</v>
      </c>
      <c r="C381" s="77" t="str">
        <f t="shared" si="9"/>
        <v>Подольск - Шилово - Спасск-Рязанский  - Подольск</v>
      </c>
      <c r="D381" s="83">
        <v>608</v>
      </c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</row>
    <row r="382" spans="1:24" ht="13.5" customHeight="1">
      <c r="A382" s="77" t="s">
        <v>491</v>
      </c>
      <c r="B382" s="77" t="s">
        <v>492</v>
      </c>
      <c r="C382" s="77" t="s">
        <v>493</v>
      </c>
      <c r="D382" s="83">
        <v>77</v>
      </c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</row>
    <row r="383" spans="1:24" ht="13.5" customHeight="1">
      <c r="A383" s="77" t="s">
        <v>491</v>
      </c>
      <c r="B383" s="77" t="s">
        <v>494</v>
      </c>
      <c r="C383" s="77" t="str">
        <f t="shared" ref="C383:C480" si="10">CONCATENATE(A383," - ",B383," - ",A383)</f>
        <v>Ростов-на-Дону - Батайск - Ростов-на-Дону</v>
      </c>
      <c r="D383" s="83">
        <v>24</v>
      </c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</row>
    <row r="384" spans="1:24" ht="13.5" customHeight="1">
      <c r="A384" s="77" t="s">
        <v>491</v>
      </c>
      <c r="B384" s="77" t="s">
        <v>495</v>
      </c>
      <c r="C384" s="77" t="str">
        <f t="shared" si="10"/>
        <v>Ростов-на-Дону - Брянск - Липецк - Воронеж - Ростов-на-Дону</v>
      </c>
      <c r="D384" s="83">
        <v>2146</v>
      </c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</row>
    <row r="385" spans="1:24" ht="13.5" customHeight="1">
      <c r="A385" s="97" t="s">
        <v>491</v>
      </c>
      <c r="B385" s="77" t="s">
        <v>496</v>
      </c>
      <c r="C385" s="77" t="str">
        <f t="shared" si="10"/>
        <v>Ростов-на-Дону - Владикавказ - Грозный - Махачкала - Ростов-на-Дону</v>
      </c>
      <c r="D385" s="83">
        <v>1984</v>
      </c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</row>
    <row r="386" spans="1:24" ht="13.5" customHeight="1">
      <c r="A386" s="97" t="s">
        <v>491</v>
      </c>
      <c r="B386" s="77" t="s">
        <v>149</v>
      </c>
      <c r="C386" s="77" t="str">
        <f t="shared" si="10"/>
        <v>Ростов-на-Дону - Волгоград - Ростов-на-Дону</v>
      </c>
      <c r="D386" s="83">
        <v>945</v>
      </c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</row>
    <row r="387" spans="1:24" ht="13.5" customHeight="1">
      <c r="A387" s="97" t="s">
        <v>491</v>
      </c>
      <c r="B387" s="77" t="s">
        <v>497</v>
      </c>
      <c r="C387" s="77" t="str">
        <f t="shared" si="10"/>
        <v>Ростов-на-Дону - Волгоград - Астрахань - Ростов-на-Дону</v>
      </c>
      <c r="D387" s="103">
        <v>1668</v>
      </c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</row>
    <row r="388" spans="1:24" ht="13.5" customHeight="1">
      <c r="A388" s="97" t="s">
        <v>491</v>
      </c>
      <c r="B388" s="77" t="s">
        <v>498</v>
      </c>
      <c r="C388" s="77" t="str">
        <f t="shared" si="10"/>
        <v>Ростов-на-Дону - Волгоград - Краснодар - Ростов-на-Дону</v>
      </c>
      <c r="D388" s="83">
        <v>1491</v>
      </c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</row>
    <row r="389" spans="1:24" ht="13.5" customHeight="1">
      <c r="A389" s="77" t="s">
        <v>491</v>
      </c>
      <c r="B389" s="77" t="s">
        <v>154</v>
      </c>
      <c r="C389" s="77" t="str">
        <f t="shared" si="10"/>
        <v>Ростов-на-Дону - Воронеж - Ростов-на-Дону</v>
      </c>
      <c r="D389" s="83">
        <v>1133</v>
      </c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</row>
    <row r="390" spans="1:24" ht="13.5" customHeight="1">
      <c r="A390" s="77" t="s">
        <v>491</v>
      </c>
      <c r="B390" s="116" t="s">
        <v>499</v>
      </c>
      <c r="C390" s="77" t="str">
        <f t="shared" si="10"/>
        <v>Ростов-на-Дону - Воронеж - Белгород - Ростов-на-Дону</v>
      </c>
      <c r="D390" s="83">
        <v>1524</v>
      </c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</row>
    <row r="391" spans="1:24" ht="13.5" customHeight="1">
      <c r="A391" s="97" t="s">
        <v>491</v>
      </c>
      <c r="B391" s="77" t="s">
        <v>500</v>
      </c>
      <c r="C391" s="77" t="str">
        <f t="shared" si="10"/>
        <v>Ростов-на-Дону - Воронеж - Белгород - Курск - Брянск - Липецк - Ростов-на-Дону</v>
      </c>
      <c r="D391" s="83">
        <v>2335</v>
      </c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</row>
    <row r="392" spans="1:24" ht="13.5" customHeight="1">
      <c r="A392" s="77" t="s">
        <v>491</v>
      </c>
      <c r="B392" s="77" t="s">
        <v>501</v>
      </c>
      <c r="C392" s="77" t="str">
        <f t="shared" si="10"/>
        <v>Ростов-на-Дону - Воронеж - Брянск - Липецк - Ростов-на-Дону</v>
      </c>
      <c r="D392" s="83">
        <v>2147</v>
      </c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</row>
    <row r="393" spans="1:24" ht="13.5" customHeight="1">
      <c r="A393" s="77" t="s">
        <v>491</v>
      </c>
      <c r="B393" s="77" t="s">
        <v>502</v>
      </c>
      <c r="C393" s="77" t="str">
        <f t="shared" si="10"/>
        <v>Ростов-на-Дону - Воронеж - Липецк - Белгород - Курск - Ростов-на-Дону</v>
      </c>
      <c r="D393" s="83">
        <v>2001</v>
      </c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</row>
    <row r="394" spans="1:24" ht="13.5" customHeight="1">
      <c r="A394" s="97" t="s">
        <v>491</v>
      </c>
      <c r="B394" s="77" t="s">
        <v>503</v>
      </c>
      <c r="C394" s="77" t="str">
        <f t="shared" si="10"/>
        <v>Ростов-на-Дону - Воронеж - Липецк - Тамбов - Ростов-на-Дону</v>
      </c>
      <c r="D394" s="83">
        <v>1575</v>
      </c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</row>
    <row r="395" spans="1:24" ht="13.5" customHeight="1">
      <c r="A395" s="97" t="s">
        <v>491</v>
      </c>
      <c r="B395" s="77" t="s">
        <v>308</v>
      </c>
      <c r="C395" s="77" t="str">
        <f t="shared" si="10"/>
        <v>Ростов-на-Дону - Краснодар - Ростов-на-Дону</v>
      </c>
      <c r="D395" s="83">
        <v>549</v>
      </c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</row>
    <row r="396" spans="1:24" ht="13.5" customHeight="1">
      <c r="A396" s="97" t="s">
        <v>491</v>
      </c>
      <c r="B396" s="77" t="s">
        <v>504</v>
      </c>
      <c r="C396" s="77" t="str">
        <f t="shared" si="10"/>
        <v>Ростов-на-Дону - Краснодар - Симферополь - Севастополь - Ростов-на-Дону</v>
      </c>
      <c r="D396" s="83">
        <v>1570</v>
      </c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</row>
    <row r="397" spans="1:24" ht="13.5" customHeight="1">
      <c r="A397" s="97" t="s">
        <v>491</v>
      </c>
      <c r="B397" s="77" t="s">
        <v>505</v>
      </c>
      <c r="C397" s="77" t="str">
        <f t="shared" si="10"/>
        <v>Ростов-на-Дону - Краснодар - Сочи - Ростов-на-Дону</v>
      </c>
      <c r="D397" s="83">
        <v>1117</v>
      </c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</row>
    <row r="398" spans="1:24" ht="13.5" customHeight="1">
      <c r="A398" s="97" t="s">
        <v>491</v>
      </c>
      <c r="B398" s="77" t="s">
        <v>337</v>
      </c>
      <c r="C398" s="77" t="str">
        <f t="shared" si="10"/>
        <v>Ростов-на-Дону - Липецк - Ростов-на-Дону</v>
      </c>
      <c r="D398" s="83">
        <v>1367</v>
      </c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</row>
    <row r="399" spans="1:24" ht="13.5" customHeight="1">
      <c r="A399" s="77" t="s">
        <v>491</v>
      </c>
      <c r="B399" s="82" t="s">
        <v>383</v>
      </c>
      <c r="C399" s="77" t="str">
        <f t="shared" si="10"/>
        <v>Ростов-на-Дону - Липецк - Белгород - Ростов-на-Дону</v>
      </c>
      <c r="D399" s="83">
        <v>1761</v>
      </c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</row>
    <row r="400" spans="1:24" ht="13.5" customHeight="1">
      <c r="A400" s="97" t="s">
        <v>491</v>
      </c>
      <c r="B400" s="77" t="s">
        <v>506</v>
      </c>
      <c r="C400" s="77" t="str">
        <f t="shared" si="10"/>
        <v>Ростов-на-Дону - Липецк - Воронеж - Ростов-на-Дону</v>
      </c>
      <c r="D400" s="83">
        <v>1372</v>
      </c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</row>
    <row r="401" spans="1:24" ht="13.5" customHeight="1">
      <c r="A401" s="97" t="s">
        <v>491</v>
      </c>
      <c r="B401" s="77" t="s">
        <v>507</v>
      </c>
      <c r="C401" s="77" t="str">
        <f t="shared" si="10"/>
        <v>Ростов-на-Дону - Липецк - Воронеж - Белгород - Ростов-на-Дону</v>
      </c>
      <c r="D401" s="83">
        <v>1767</v>
      </c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</row>
    <row r="402" spans="1:24" ht="13.5" customHeight="1">
      <c r="A402" s="77" t="s">
        <v>491</v>
      </c>
      <c r="B402" s="77" t="s">
        <v>508</v>
      </c>
      <c r="C402" s="77" t="str">
        <f t="shared" si="10"/>
        <v>Ростов-на-Дону - Липецк - Тамбов - Ростов-на-Дону</v>
      </c>
      <c r="D402" s="83">
        <v>1568</v>
      </c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</row>
    <row r="403" spans="1:24" ht="13.5" customHeight="1">
      <c r="A403" s="77" t="s">
        <v>491</v>
      </c>
      <c r="B403" s="77" t="s">
        <v>509</v>
      </c>
      <c r="C403" s="77" t="str">
        <f t="shared" si="10"/>
        <v>Ростов-на-Дону - Новочеркасск - Ростов-на-Дону</v>
      </c>
      <c r="D403" s="80">
        <v>84</v>
      </c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</row>
    <row r="404" spans="1:24" ht="13.5" customHeight="1">
      <c r="A404" s="77" t="s">
        <v>491</v>
      </c>
      <c r="B404" s="77" t="s">
        <v>510</v>
      </c>
      <c r="C404" s="77" t="str">
        <f t="shared" si="10"/>
        <v>Ростов-на-Дону - Новошахтинск - Ростов-на-Дону</v>
      </c>
      <c r="D404" s="80">
        <v>157</v>
      </c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</row>
    <row r="405" spans="1:24" ht="13.5" customHeight="1">
      <c r="A405" s="77" t="s">
        <v>491</v>
      </c>
      <c r="B405" s="82" t="s">
        <v>511</v>
      </c>
      <c r="C405" s="77" t="str">
        <f t="shared" si="10"/>
        <v>Ростов-на-Дону - Пятигорск - Ростов-на-Дону</v>
      </c>
      <c r="D405" s="83">
        <v>1072</v>
      </c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</row>
    <row r="406" spans="1:24" ht="13.5" customHeight="1">
      <c r="A406" s="77" t="s">
        <v>491</v>
      </c>
      <c r="B406" s="77" t="s">
        <v>512</v>
      </c>
      <c r="C406" s="77" t="str">
        <f t="shared" si="10"/>
        <v>Ростов-на-Дону - Симферополь - Севастополь - Ростов-на-Дону</v>
      </c>
      <c r="D406" s="83">
        <v>1536</v>
      </c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</row>
    <row r="407" spans="1:24" ht="13.5" customHeight="1">
      <c r="A407" s="97" t="s">
        <v>491</v>
      </c>
      <c r="B407" s="77" t="s">
        <v>513</v>
      </c>
      <c r="C407" s="77" t="str">
        <f t="shared" si="10"/>
        <v>Ростов-на-Дону - Симферополь - Севастополь - Феодосия - Ростов-на-Дону</v>
      </c>
      <c r="D407" s="83">
        <v>1540</v>
      </c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</row>
    <row r="408" spans="1:24" ht="13.5" customHeight="1">
      <c r="A408" s="77" t="s">
        <v>491</v>
      </c>
      <c r="B408" s="100" t="s">
        <v>514</v>
      </c>
      <c r="C408" s="77" t="str">
        <f t="shared" si="10"/>
        <v>Ростов-на-Дону - Ставрополь - Ростов-на-Дону</v>
      </c>
      <c r="D408" s="80">
        <v>683</v>
      </c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</row>
    <row r="409" spans="1:24" ht="13.5" customHeight="1">
      <c r="A409" s="77" t="s">
        <v>491</v>
      </c>
      <c r="B409" s="82" t="s">
        <v>515</v>
      </c>
      <c r="C409" s="77" t="str">
        <f t="shared" si="10"/>
        <v>Ростов-на-Дону - Ставрополь - Кисловодск - Ессентуки - Пятигорск - Ростов-на-Дону</v>
      </c>
      <c r="D409" s="83">
        <v>1130</v>
      </c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</row>
    <row r="410" spans="1:24" ht="13.5" customHeight="1">
      <c r="A410" s="77" t="s">
        <v>491</v>
      </c>
      <c r="B410" s="82" t="s">
        <v>516</v>
      </c>
      <c r="C410" s="77" t="str">
        <f t="shared" si="10"/>
        <v>Ростов-на-Дону - Ставрополь - Кисловодск - Пятигорск - Ростов-на-Дону</v>
      </c>
      <c r="D410" s="80">
        <v>1128</v>
      </c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</row>
    <row r="411" spans="1:24" ht="13.5" customHeight="1">
      <c r="A411" s="77" t="s">
        <v>491</v>
      </c>
      <c r="B411" s="100" t="s">
        <v>517</v>
      </c>
      <c r="C411" s="77" t="str">
        <f t="shared" si="10"/>
        <v>Ростов-на-Дону - Ставрополь - Краснодар - Ростов-на-Дону</v>
      </c>
      <c r="D411" s="80">
        <v>915</v>
      </c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</row>
    <row r="412" spans="1:24" ht="13.5" customHeight="1">
      <c r="A412" s="77" t="s">
        <v>491</v>
      </c>
      <c r="B412" s="100" t="s">
        <v>518</v>
      </c>
      <c r="C412" s="77" t="str">
        <f t="shared" si="10"/>
        <v>Ростов-на-Дону - Ставрополь - Усть-Лабинск - Краснодар  - Ростов-на-Дону</v>
      </c>
      <c r="D412" s="80">
        <v>917</v>
      </c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</row>
    <row r="413" spans="1:24" ht="13.5" customHeight="1">
      <c r="A413" s="77" t="s">
        <v>491</v>
      </c>
      <c r="B413" s="77" t="s">
        <v>519</v>
      </c>
      <c r="C413" s="77" t="str">
        <f t="shared" si="10"/>
        <v>Ростов-на-Дону - Таганрог - Ростов-на-Дону</v>
      </c>
      <c r="D413" s="80">
        <v>149</v>
      </c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</row>
    <row r="414" spans="1:24" ht="13.5" customHeight="1">
      <c r="A414" s="77" t="s">
        <v>491</v>
      </c>
      <c r="B414" s="100" t="s">
        <v>520</v>
      </c>
      <c r="C414" s="77" t="str">
        <f t="shared" si="10"/>
        <v>Ростов-на-Дону - Усть-Лабинск - Краснодар - Ростов-на-Дону</v>
      </c>
      <c r="D414" s="80">
        <v>590</v>
      </c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</row>
    <row r="415" spans="1:24" ht="13.5" customHeight="1">
      <c r="A415" s="77" t="s">
        <v>491</v>
      </c>
      <c r="B415" s="77" t="s">
        <v>521</v>
      </c>
      <c r="C415" s="77" t="str">
        <f t="shared" si="10"/>
        <v>Ростов-на-Дону - Шахты - Ростов-на-Дону</v>
      </c>
      <c r="D415" s="80">
        <v>158</v>
      </c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</row>
    <row r="416" spans="1:24" ht="13.5" customHeight="1">
      <c r="A416" s="77" t="s">
        <v>387</v>
      </c>
      <c r="B416" s="82" t="s">
        <v>522</v>
      </c>
      <c r="C416" s="77" t="str">
        <f t="shared" si="10"/>
        <v>Рязань - Новомичуринск - Ряжск - Рязань</v>
      </c>
      <c r="D416" s="86">
        <v>269</v>
      </c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</row>
    <row r="417" spans="1:24" ht="13.5" customHeight="1">
      <c r="A417" s="77" t="s">
        <v>387</v>
      </c>
      <c r="B417" s="82" t="s">
        <v>523</v>
      </c>
      <c r="C417" s="77" t="str">
        <f t="shared" si="10"/>
        <v>Рязань - Рыбное - Солотча - Рязань</v>
      </c>
      <c r="D417" s="86">
        <v>95</v>
      </c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</row>
    <row r="418" spans="1:24" ht="13.5" customHeight="1">
      <c r="A418" s="77" t="s">
        <v>387</v>
      </c>
      <c r="B418" s="82" t="s">
        <v>524</v>
      </c>
      <c r="C418" s="77" t="str">
        <f t="shared" si="10"/>
        <v>Рязань - Спасск-Рязанский  - Рязань</v>
      </c>
      <c r="D418" s="86">
        <v>118</v>
      </c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</row>
    <row r="419" spans="1:24" ht="13.5" customHeight="1">
      <c r="A419" s="77" t="s">
        <v>387</v>
      </c>
      <c r="B419" s="82" t="s">
        <v>525</v>
      </c>
      <c r="C419" s="77" t="str">
        <f t="shared" si="10"/>
        <v>Рязань - Скопин - Рязань</v>
      </c>
      <c r="D419" s="86">
        <v>194</v>
      </c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</row>
    <row r="420" spans="1:24" ht="13.5" customHeight="1">
      <c r="A420" s="77" t="s">
        <v>387</v>
      </c>
      <c r="B420" s="82" t="s">
        <v>490</v>
      </c>
      <c r="C420" s="77" t="str">
        <f t="shared" si="10"/>
        <v>Рязань - Шилово - Спасск-Рязанский  - Рязань</v>
      </c>
      <c r="D420" s="86">
        <v>209</v>
      </c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</row>
    <row r="421" spans="1:24" ht="13.5" customHeight="1">
      <c r="A421" s="77" t="s">
        <v>276</v>
      </c>
      <c r="B421" s="123" t="s">
        <v>526</v>
      </c>
      <c r="C421" s="77" t="str">
        <f t="shared" si="10"/>
        <v>Самара - Жигулёвск - Самара</v>
      </c>
      <c r="D421" s="80">
        <v>178</v>
      </c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</row>
    <row r="422" spans="1:24" ht="13.5" customHeight="1">
      <c r="A422" s="77" t="s">
        <v>276</v>
      </c>
      <c r="B422" s="123" t="s">
        <v>236</v>
      </c>
      <c r="C422" s="77" t="str">
        <f t="shared" si="10"/>
        <v>Самара - Уфа - Самара</v>
      </c>
      <c r="D422" s="80">
        <v>928</v>
      </c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</row>
    <row r="423" spans="1:24" ht="13.5" customHeight="1">
      <c r="A423" s="77" t="s">
        <v>276</v>
      </c>
      <c r="B423" s="123" t="s">
        <v>527</v>
      </c>
      <c r="C423" s="77" t="str">
        <f t="shared" si="10"/>
        <v>Самара - Тольятти - Самара</v>
      </c>
      <c r="D423" s="80">
        <v>177</v>
      </c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</row>
    <row r="424" spans="1:24" ht="13.5" customHeight="1">
      <c r="A424" s="77" t="s">
        <v>389</v>
      </c>
      <c r="B424" s="116" t="s">
        <v>528</v>
      </c>
      <c r="C424" s="77" t="str">
        <f t="shared" si="10"/>
        <v>Санкт-Петербург - Великий Новгород - Санкт-Петербург</v>
      </c>
      <c r="D424" s="80">
        <v>400</v>
      </c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</row>
    <row r="425" spans="1:24" ht="13.5" customHeight="1">
      <c r="A425" s="77" t="s">
        <v>389</v>
      </c>
      <c r="B425" s="77" t="s">
        <v>151</v>
      </c>
      <c r="C425" s="77" t="str">
        <f t="shared" si="10"/>
        <v>Санкт-Петербург - Вологда - Санкт-Петербург</v>
      </c>
      <c r="D425" s="83">
        <v>1324</v>
      </c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</row>
    <row r="426" spans="1:24" ht="13.5" customHeight="1">
      <c r="A426" s="77" t="s">
        <v>389</v>
      </c>
      <c r="B426" s="77" t="s">
        <v>529</v>
      </c>
      <c r="C426" s="77" t="str">
        <f t="shared" si="10"/>
        <v>Санкт-Петербург - Вологда - Архангельск - Санкт-Петербург</v>
      </c>
      <c r="D426" s="80">
        <v>2569</v>
      </c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</row>
    <row r="427" spans="1:24" ht="13.5" customHeight="1">
      <c r="A427" s="77" t="s">
        <v>389</v>
      </c>
      <c r="B427" s="116" t="s">
        <v>371</v>
      </c>
      <c r="C427" s="77" t="str">
        <f t="shared" si="10"/>
        <v>Санкт-Петербург - Вологда - Череповец - Санкт-Петербург</v>
      </c>
      <c r="D427" s="80">
        <v>1342</v>
      </c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</row>
    <row r="428" spans="1:24" ht="13.5" customHeight="1">
      <c r="A428" s="77" t="s">
        <v>389</v>
      </c>
      <c r="B428" s="77" t="s">
        <v>530</v>
      </c>
      <c r="C428" s="77" t="str">
        <f t="shared" si="10"/>
        <v>Санкт-Петербург - Волхов - Кириши - Санкт-Петербург</v>
      </c>
      <c r="D428" s="83">
        <v>356</v>
      </c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</row>
    <row r="429" spans="1:24" ht="13.5" customHeight="1">
      <c r="A429" s="77" t="s">
        <v>389</v>
      </c>
      <c r="B429" s="116" t="s">
        <v>531</v>
      </c>
      <c r="C429" s="77" t="str">
        <f t="shared" si="10"/>
        <v>Санкт-Петербург - Всеволожск - Санкт-Петербург</v>
      </c>
      <c r="D429" s="80">
        <v>49</v>
      </c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</row>
    <row r="430" spans="1:24" ht="13.5" customHeight="1">
      <c r="A430" s="77" t="s">
        <v>389</v>
      </c>
      <c r="B430" s="77" t="s">
        <v>532</v>
      </c>
      <c r="C430" s="77" t="str">
        <f t="shared" si="10"/>
        <v>Санкт-Петербург - Выборг - Санкт-Петербург</v>
      </c>
      <c r="D430" s="80">
        <v>272</v>
      </c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</row>
    <row r="431" spans="1:24" ht="13.5" customHeight="1">
      <c r="A431" s="77" t="s">
        <v>389</v>
      </c>
      <c r="B431" s="77" t="s">
        <v>533</v>
      </c>
      <c r="C431" s="77" t="str">
        <f t="shared" si="10"/>
        <v>Санкт-Петербург - Выборг - Первомайское - Санкт-Петербург</v>
      </c>
      <c r="D431" s="80">
        <v>279</v>
      </c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</row>
    <row r="432" spans="1:24" ht="13.5" customHeight="1">
      <c r="A432" s="77" t="s">
        <v>389</v>
      </c>
      <c r="B432" s="77" t="s">
        <v>534</v>
      </c>
      <c r="C432" s="77" t="str">
        <f t="shared" si="10"/>
        <v>Санкт-Петербург - Выборг - Рощино - Санкт-Петербург</v>
      </c>
      <c r="D432" s="80">
        <v>277</v>
      </c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</row>
    <row r="433" spans="1:24" ht="13.5" customHeight="1">
      <c r="A433" s="77" t="s">
        <v>389</v>
      </c>
      <c r="B433" s="77" t="s">
        <v>535</v>
      </c>
      <c r="C433" s="77" t="str">
        <f t="shared" si="10"/>
        <v>Санкт-Петербург - Гатчина - Санкт-Петербург</v>
      </c>
      <c r="D433" s="80">
        <v>97</v>
      </c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</row>
    <row r="434" spans="1:24" ht="13.5" customHeight="1">
      <c r="A434" s="77" t="s">
        <v>389</v>
      </c>
      <c r="B434" s="77" t="s">
        <v>536</v>
      </c>
      <c r="C434" s="77" t="str">
        <f t="shared" si="10"/>
        <v>Санкт-Петербург - Зеленогорск - Сестрорецк - Кронштадт - Санкт-Петербург</v>
      </c>
      <c r="D434" s="83">
        <v>157</v>
      </c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</row>
    <row r="435" spans="1:24" ht="13.5" customHeight="1">
      <c r="A435" s="77" t="s">
        <v>389</v>
      </c>
      <c r="B435" s="124" t="s">
        <v>280</v>
      </c>
      <c r="C435" s="77" t="str">
        <f t="shared" si="10"/>
        <v>Санкт-Петербург - Калининград - Санкт-Петербург</v>
      </c>
      <c r="D435" s="83">
        <v>1929</v>
      </c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</row>
    <row r="436" spans="1:24" ht="13.5" customHeight="1">
      <c r="A436" s="77" t="s">
        <v>389</v>
      </c>
      <c r="B436" s="82" t="s">
        <v>537</v>
      </c>
      <c r="C436" s="77" t="str">
        <f t="shared" si="10"/>
        <v>Санкт-Петербург - Кингисепп - Ивангород - Санкт-Петербург</v>
      </c>
      <c r="D436" s="80">
        <v>312</v>
      </c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</row>
    <row r="437" spans="1:24" ht="13.5" customHeight="1">
      <c r="A437" s="77" t="s">
        <v>389</v>
      </c>
      <c r="B437" s="77" t="s">
        <v>538</v>
      </c>
      <c r="C437" s="77" t="str">
        <f t="shared" si="10"/>
        <v>Санкт-Петербург - Колпино - Санкт-Петербург</v>
      </c>
      <c r="D437" s="80">
        <v>63</v>
      </c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</row>
    <row r="438" spans="1:24" ht="13.5" customHeight="1">
      <c r="A438" s="77" t="s">
        <v>389</v>
      </c>
      <c r="B438" s="77" t="s">
        <v>539</v>
      </c>
      <c r="C438" s="77" t="str">
        <f t="shared" si="10"/>
        <v>Санкт-Петербург - Колпино - Металлострой - Санкт-Петербург</v>
      </c>
      <c r="D438" s="80">
        <v>64</v>
      </c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</row>
    <row r="439" spans="1:24" ht="13.5" customHeight="1">
      <c r="A439" s="77" t="s">
        <v>389</v>
      </c>
      <c r="B439" s="77" t="s">
        <v>540</v>
      </c>
      <c r="C439" s="77" t="str">
        <f t="shared" si="10"/>
        <v>Санкт-Петербург - Колтуши - Разметелево - Санкт-Петербург</v>
      </c>
      <c r="D439" s="80">
        <v>52</v>
      </c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</row>
    <row r="440" spans="1:24" ht="13.5" customHeight="1">
      <c r="A440" s="77" t="s">
        <v>389</v>
      </c>
      <c r="B440" s="77" t="s">
        <v>541</v>
      </c>
      <c r="C440" s="77" t="str">
        <f t="shared" si="10"/>
        <v>Санкт-Петербург - Красное село - Санкт-Петербург</v>
      </c>
      <c r="D440" s="80">
        <v>62</v>
      </c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</row>
    <row r="441" spans="1:24" ht="13.5" customHeight="1">
      <c r="A441" s="77" t="s">
        <v>389</v>
      </c>
      <c r="B441" s="77" t="s">
        <v>542</v>
      </c>
      <c r="C441" s="77" t="str">
        <f t="shared" si="10"/>
        <v>Санкт-Петербург - Кронштадт - Санкт-Петербург</v>
      </c>
      <c r="D441" s="83">
        <v>103</v>
      </c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</row>
    <row r="442" spans="1:24" ht="13.5" customHeight="1">
      <c r="A442" s="77" t="s">
        <v>389</v>
      </c>
      <c r="B442" s="77" t="s">
        <v>543</v>
      </c>
      <c r="C442" s="77" t="str">
        <f t="shared" si="10"/>
        <v>Санкт-Петербург - Кронштадт - Сестрорецк - Зеленогорск - Санкт-Петербург</v>
      </c>
      <c r="D442" s="83">
        <v>159</v>
      </c>
      <c r="E442" s="84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</row>
    <row r="443" spans="1:24" ht="13.5" customHeight="1">
      <c r="A443" s="77" t="s">
        <v>389</v>
      </c>
      <c r="B443" s="77" t="s">
        <v>544</v>
      </c>
      <c r="C443" s="77" t="str">
        <f t="shared" si="10"/>
        <v>Санкт-Петербург - Ломоносов - Санкт-Петербург</v>
      </c>
      <c r="D443" s="80">
        <v>106</v>
      </c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</row>
    <row r="444" spans="1:24" ht="13.5" customHeight="1">
      <c r="A444" s="77" t="s">
        <v>389</v>
      </c>
      <c r="B444" s="77" t="s">
        <v>545</v>
      </c>
      <c r="C444" s="77" t="str">
        <f t="shared" si="10"/>
        <v>Санкт-Петербург - Луга - Санкт-Петербург</v>
      </c>
      <c r="D444" s="80">
        <v>294</v>
      </c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</row>
    <row r="445" spans="1:24" ht="13.5" customHeight="1">
      <c r="A445" s="77" t="s">
        <v>389</v>
      </c>
      <c r="B445" s="82" t="s">
        <v>546</v>
      </c>
      <c r="C445" s="77" t="str">
        <f t="shared" si="10"/>
        <v>Санкт-Петербург - Никольское - Тосно - Санкт-Петербург</v>
      </c>
      <c r="D445" s="80">
        <v>126</v>
      </c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</row>
    <row r="446" spans="1:24" ht="13.5" customHeight="1">
      <c r="A446" s="77" t="s">
        <v>389</v>
      </c>
      <c r="B446" s="77" t="s">
        <v>547</v>
      </c>
      <c r="C446" s="77" t="str">
        <f t="shared" si="10"/>
        <v>Санкт-Петербург - Новое Девяткино - Мурино - Санкт-Петербург</v>
      </c>
      <c r="D446" s="80">
        <v>41</v>
      </c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</row>
    <row r="447" spans="1:24" ht="13.5" customHeight="1">
      <c r="A447" s="77" t="s">
        <v>389</v>
      </c>
      <c r="B447" s="77" t="s">
        <v>548</v>
      </c>
      <c r="C447" s="77" t="str">
        <f t="shared" si="10"/>
        <v>Санкт-Петербург - Отрадное - Санкт-Петербург</v>
      </c>
      <c r="D447" s="80">
        <v>76</v>
      </c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</row>
    <row r="448" spans="1:24" ht="13.5" customHeight="1">
      <c r="A448" s="77" t="s">
        <v>389</v>
      </c>
      <c r="B448" s="124" t="s">
        <v>549</v>
      </c>
      <c r="C448" s="77" t="str">
        <f t="shared" si="10"/>
        <v>Санкт-Петербург - Отрадное - Никольское - Санкт-Петербург</v>
      </c>
      <c r="D448" s="83">
        <v>89</v>
      </c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</row>
    <row r="449" spans="1:24" ht="13.5" customHeight="1">
      <c r="A449" s="77" t="s">
        <v>389</v>
      </c>
      <c r="B449" s="124" t="s">
        <v>550</v>
      </c>
      <c r="C449" s="77" t="str">
        <f t="shared" si="10"/>
        <v>Санкт-Петербург - Петергоф - Санкт-Петербург</v>
      </c>
      <c r="D449" s="80">
        <v>81</v>
      </c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</row>
    <row r="450" spans="1:24" ht="13.5" customHeight="1">
      <c r="A450" s="77" t="s">
        <v>389</v>
      </c>
      <c r="B450" s="77" t="s">
        <v>551</v>
      </c>
      <c r="C450" s="77" t="str">
        <f t="shared" si="10"/>
        <v>Санкт-Петербург - Петергоф - Ломоносов - Санкт-Петербург</v>
      </c>
      <c r="D450" s="80">
        <v>104</v>
      </c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</row>
    <row r="451" spans="1:24" ht="13.5" customHeight="1">
      <c r="A451" s="77" t="s">
        <v>389</v>
      </c>
      <c r="B451" s="77" t="s">
        <v>552</v>
      </c>
      <c r="C451" s="77" t="str">
        <f t="shared" si="10"/>
        <v>Санкт-Петербург - Петрозаводск - Псков - Санкт-Петербург</v>
      </c>
      <c r="D451" s="83">
        <v>1427</v>
      </c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</row>
    <row r="452" spans="1:24" ht="13.5" customHeight="1">
      <c r="A452" s="77" t="s">
        <v>389</v>
      </c>
      <c r="B452" s="77" t="s">
        <v>553</v>
      </c>
      <c r="C452" s="77" t="str">
        <f t="shared" si="10"/>
        <v>Санкт-Петербург - Пушкин - Санкт-Петербург</v>
      </c>
      <c r="D452" s="80">
        <v>59</v>
      </c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</row>
    <row r="453" spans="1:24" ht="13.5" customHeight="1">
      <c r="A453" s="77" t="s">
        <v>389</v>
      </c>
      <c r="B453" s="124" t="s">
        <v>554</v>
      </c>
      <c r="C453" s="77" t="str">
        <f t="shared" si="10"/>
        <v>Санкт-Петербург - Пушкин - Павловск - Санкт-Петербург</v>
      </c>
      <c r="D453" s="83">
        <v>70</v>
      </c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</row>
    <row r="454" spans="1:24" ht="13.5" customHeight="1">
      <c r="A454" s="77" t="s">
        <v>389</v>
      </c>
      <c r="B454" s="81" t="s">
        <v>555</v>
      </c>
      <c r="C454" s="77" t="str">
        <f t="shared" si="10"/>
        <v>Санкт-Петербург - Рощино - Первомайское - Каменка - Агалатово - Сертолово  - Санкт-Петербург</v>
      </c>
      <c r="D454" s="80">
        <v>172</v>
      </c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</row>
    <row r="455" spans="1:24" ht="13.5" customHeight="1">
      <c r="A455" s="77" t="s">
        <v>389</v>
      </c>
      <c r="B455" s="77" t="s">
        <v>556</v>
      </c>
      <c r="C455" s="77" t="str">
        <f t="shared" si="10"/>
        <v>Санкт-Петербург - Сестрорецк - Санкт-Петербург</v>
      </c>
      <c r="D455" s="80">
        <v>77</v>
      </c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</row>
    <row r="456" spans="1:24" ht="13.5" customHeight="1">
      <c r="A456" s="77" t="s">
        <v>389</v>
      </c>
      <c r="B456" s="77" t="s">
        <v>557</v>
      </c>
      <c r="C456" s="77" t="str">
        <f t="shared" si="10"/>
        <v>Санкт-Петербург - Сестрорецк - Зеленогорск - Санкт-Петербург</v>
      </c>
      <c r="D456" s="80">
        <v>117</v>
      </c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</row>
    <row r="457" spans="1:24" ht="13.5" customHeight="1">
      <c r="A457" s="77" t="s">
        <v>389</v>
      </c>
      <c r="B457" s="77" t="s">
        <v>558</v>
      </c>
      <c r="C457" s="77" t="str">
        <f t="shared" si="10"/>
        <v>Санкт-Петербург - Сиверская - Вырица - Санкт-Петербург</v>
      </c>
      <c r="D457" s="80">
        <v>168</v>
      </c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</row>
    <row r="458" spans="1:24" ht="13.5" customHeight="1">
      <c r="A458" s="77" t="s">
        <v>389</v>
      </c>
      <c r="B458" s="77" t="s">
        <v>559</v>
      </c>
      <c r="C458" s="77" t="str">
        <f t="shared" si="10"/>
        <v>Санкт-Петербург - Сосновый бор - Санкт-Петербург</v>
      </c>
      <c r="D458" s="80">
        <v>198</v>
      </c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</row>
    <row r="459" spans="1:24" ht="13.5" customHeight="1">
      <c r="A459" s="77" t="s">
        <v>389</v>
      </c>
      <c r="B459" s="77" t="s">
        <v>560</v>
      </c>
      <c r="C459" s="77" t="str">
        <f t="shared" si="10"/>
        <v>Санкт-Петербург - Тихвин - Волхов - Кириши - Санкт-Петербург</v>
      </c>
      <c r="D459" s="80">
        <v>565</v>
      </c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</row>
    <row r="460" spans="1:24" ht="13.5" customHeight="1">
      <c r="A460" s="77" t="s">
        <v>389</v>
      </c>
      <c r="B460" s="77" t="s">
        <v>561</v>
      </c>
      <c r="C460" s="77" t="str">
        <f t="shared" si="10"/>
        <v>Санкт-Петербург - Токсово - Сертолово - Санкт-Петербург</v>
      </c>
      <c r="D460" s="80">
        <v>87</v>
      </c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</row>
    <row r="461" spans="1:24" ht="13.5" customHeight="1">
      <c r="A461" s="77" t="s">
        <v>389</v>
      </c>
      <c r="B461" s="77" t="s">
        <v>562</v>
      </c>
      <c r="C461" s="77" t="str">
        <f t="shared" si="10"/>
        <v>Санкт-Петербург - Тосно - Санкт-Петербург</v>
      </c>
      <c r="D461" s="80">
        <v>119</v>
      </c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</row>
    <row r="462" spans="1:24" ht="13.5" customHeight="1">
      <c r="A462" s="77" t="s">
        <v>389</v>
      </c>
      <c r="B462" s="77" t="s">
        <v>563</v>
      </c>
      <c r="C462" s="77" t="str">
        <f t="shared" si="10"/>
        <v>Санкт-Петербург - Шушары - Пушкин - Санкт-Петербург</v>
      </c>
      <c r="D462" s="80">
        <v>65</v>
      </c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</row>
    <row r="463" spans="1:24" ht="13.5" customHeight="1">
      <c r="A463" s="77" t="s">
        <v>389</v>
      </c>
      <c r="B463" s="82" t="s">
        <v>564</v>
      </c>
      <c r="C463" s="77" t="str">
        <f t="shared" si="10"/>
        <v>Санкт-Петербург - Шлиссельбург - Кировск - Отрадное - Санкт-Петербург</v>
      </c>
      <c r="D463" s="80">
        <v>144</v>
      </c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</row>
    <row r="464" spans="1:24" ht="13.5" customHeight="1">
      <c r="A464" s="77" t="s">
        <v>389</v>
      </c>
      <c r="B464" s="104" t="s">
        <v>565</v>
      </c>
      <c r="C464" s="77" t="str">
        <f t="shared" si="10"/>
        <v>Санкт-Петербург - Шлиссельбург - Кировск - Отрадное - Никольское - Санкт-Петербург</v>
      </c>
      <c r="D464" s="80">
        <v>166</v>
      </c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</row>
    <row r="465" spans="1:24" ht="13.5" customHeight="1">
      <c r="A465" s="81" t="s">
        <v>566</v>
      </c>
      <c r="B465" s="99" t="s">
        <v>567</v>
      </c>
      <c r="C465" s="77" t="str">
        <f t="shared" si="10"/>
        <v>Севастополь - Алушта - Севастополь</v>
      </c>
      <c r="D465" s="80">
        <v>236</v>
      </c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</row>
    <row r="466" spans="1:24" ht="13.5" customHeight="1">
      <c r="A466" s="81" t="s">
        <v>566</v>
      </c>
      <c r="B466" s="99" t="s">
        <v>568</v>
      </c>
      <c r="C466" s="77" t="str">
        <f t="shared" si="10"/>
        <v>Севастополь - Белогорск - Кировское - Коктебель - Феодосия - Севастополь</v>
      </c>
      <c r="D466" s="80">
        <v>455</v>
      </c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</row>
    <row r="467" spans="1:24" ht="13.5" customHeight="1">
      <c r="A467" s="81" t="s">
        <v>566</v>
      </c>
      <c r="B467" s="99" t="s">
        <v>569</v>
      </c>
      <c r="C467" s="77" t="str">
        <f t="shared" si="10"/>
        <v>Севастополь - Белогорск - Старый Крым - Кировское - Коктебель - Феодосия - Севастополь</v>
      </c>
      <c r="D467" s="80">
        <v>455</v>
      </c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</row>
    <row r="468" spans="1:24" ht="13.5" customHeight="1">
      <c r="A468" s="77" t="s">
        <v>566</v>
      </c>
      <c r="B468" s="100" t="s">
        <v>570</v>
      </c>
      <c r="C468" s="77" t="str">
        <f t="shared" si="10"/>
        <v>Севастополь - Симферополь - Севастополь</v>
      </c>
      <c r="D468" s="83">
        <v>160</v>
      </c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</row>
    <row r="469" spans="1:24" ht="13.5" customHeight="1">
      <c r="A469" s="77" t="s">
        <v>566</v>
      </c>
      <c r="B469" s="77" t="s">
        <v>571</v>
      </c>
      <c r="C469" s="77" t="str">
        <f t="shared" si="10"/>
        <v>Севастополь - Симферополь - Бахчисарай - Севастополь</v>
      </c>
      <c r="D469" s="80">
        <v>156</v>
      </c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</row>
    <row r="470" spans="1:24" ht="13.5" customHeight="1">
      <c r="A470" s="77" t="s">
        <v>566</v>
      </c>
      <c r="B470" s="77" t="s">
        <v>572</v>
      </c>
      <c r="C470" s="77" t="str">
        <f t="shared" si="10"/>
        <v>Севастополь - Симферополь -  Белогорск - Кировское - Коктебель - Феодосия - Севастополь</v>
      </c>
      <c r="D470" s="80">
        <v>455</v>
      </c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</row>
    <row r="471" spans="1:24" ht="13.5" customHeight="1">
      <c r="A471" s="81" t="s">
        <v>566</v>
      </c>
      <c r="B471" s="99" t="s">
        <v>573</v>
      </c>
      <c r="C471" s="77" t="str">
        <f t="shared" si="10"/>
        <v>Севастополь - Симферополь - Белогорск - Кировское - Коктебель - Феодосия - Севастополь</v>
      </c>
      <c r="D471" s="80">
        <v>455</v>
      </c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</row>
    <row r="472" spans="1:24" ht="13.5" customHeight="1">
      <c r="A472" s="77" t="s">
        <v>566</v>
      </c>
      <c r="B472" s="82" t="s">
        <v>574</v>
      </c>
      <c r="C472" s="77" t="str">
        <f t="shared" si="10"/>
        <v>Севастополь - Симферополь - Белогорск - Старый Крым  - Коктебель - Феодосия - Кировское - Севастополь</v>
      </c>
      <c r="D472" s="86">
        <v>453</v>
      </c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</row>
    <row r="473" spans="1:24" ht="13.5" customHeight="1">
      <c r="A473" s="77" t="s">
        <v>566</v>
      </c>
      <c r="B473" s="100" t="s">
        <v>575</v>
      </c>
      <c r="C473" s="77" t="str">
        <f t="shared" si="10"/>
        <v>Севастополь - Ялта - Севастополь</v>
      </c>
      <c r="D473" s="83">
        <v>168</v>
      </c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</row>
    <row r="474" spans="1:24" ht="13.5" customHeight="1">
      <c r="A474" s="77" t="s">
        <v>566</v>
      </c>
      <c r="B474" s="82" t="s">
        <v>576</v>
      </c>
      <c r="C474" s="77" t="str">
        <f t="shared" si="10"/>
        <v>Севастополь - Ялта - Алушта - Севастополь</v>
      </c>
      <c r="D474" s="83">
        <v>237</v>
      </c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</row>
    <row r="475" spans="1:24" ht="13.5" customHeight="1">
      <c r="A475" s="77" t="s">
        <v>514</v>
      </c>
      <c r="B475" s="82" t="s">
        <v>577</v>
      </c>
      <c r="C475" s="77" t="str">
        <f t="shared" si="10"/>
        <v>Ставрополь - Барсуковская - Невинномысск - Ставрополь</v>
      </c>
      <c r="D475" s="83">
        <v>120</v>
      </c>
      <c r="E475" s="85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</row>
    <row r="476" spans="1:24" ht="13.5" customHeight="1">
      <c r="A476" s="77" t="s">
        <v>514</v>
      </c>
      <c r="B476" s="77" t="s">
        <v>578</v>
      </c>
      <c r="C476" s="77" t="str">
        <f t="shared" si="10"/>
        <v>Ставрополь - Грачевка - Ипатово - Ставрополь</v>
      </c>
      <c r="D476" s="80">
        <v>277</v>
      </c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</row>
    <row r="477" spans="1:24" ht="13.5" customHeight="1">
      <c r="A477" s="77" t="s">
        <v>514</v>
      </c>
      <c r="B477" s="82" t="s">
        <v>579</v>
      </c>
      <c r="C477" s="77" t="str">
        <f t="shared" si="10"/>
        <v>Ставрополь - Грачёвка - Светлоград - Ипатово - Ставрополь</v>
      </c>
      <c r="D477" s="83">
        <v>290</v>
      </c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</row>
    <row r="478" spans="1:24" ht="13.5" customHeight="1">
      <c r="A478" s="77" t="s">
        <v>514</v>
      </c>
      <c r="B478" s="82" t="s">
        <v>580</v>
      </c>
      <c r="C478" s="77" t="str">
        <f t="shared" si="10"/>
        <v>Ставрополь - Ессентуки - Кисловодск - Пятигорск - Ставрополь</v>
      </c>
      <c r="D478" s="83">
        <v>444</v>
      </c>
      <c r="E478" s="84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</row>
    <row r="479" spans="1:24" ht="13.5" customHeight="1">
      <c r="A479" s="77" t="s">
        <v>514</v>
      </c>
      <c r="B479" s="82" t="s">
        <v>581</v>
      </c>
      <c r="C479" s="77" t="str">
        <f t="shared" si="10"/>
        <v>Ставрополь - Железноводск - Пятигорск - Ессентуки - Кисловодск - Ставрополь</v>
      </c>
      <c r="D479" s="83">
        <v>453</v>
      </c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</row>
    <row r="480" spans="1:24" ht="13.5" customHeight="1">
      <c r="A480" s="77" t="s">
        <v>514</v>
      </c>
      <c r="B480" s="77" t="s">
        <v>582</v>
      </c>
      <c r="C480" s="77" t="str">
        <f t="shared" si="10"/>
        <v>Ставрополь - Изобильный - Новоалександровск - Ставрополь</v>
      </c>
      <c r="D480" s="80">
        <v>205</v>
      </c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</row>
    <row r="481" spans="1:24" ht="13.5" customHeight="1">
      <c r="A481" s="77" t="s">
        <v>514</v>
      </c>
      <c r="B481" s="77" t="s">
        <v>583</v>
      </c>
      <c r="C481" s="77" t="s">
        <v>584</v>
      </c>
      <c r="D481" s="80">
        <v>163</v>
      </c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</row>
    <row r="482" spans="1:24" ht="13.5" customHeight="1">
      <c r="A482" s="77" t="s">
        <v>514</v>
      </c>
      <c r="B482" s="82" t="s">
        <v>585</v>
      </c>
      <c r="C482" s="77" t="str">
        <f t="shared" ref="C482:C492" si="11">CONCATENATE(A482," - ",B482," - ",A482)</f>
        <v>Ставрополь - Казьминское - Черкесск - Кочубеевское - Ставрополь</v>
      </c>
      <c r="D482" s="83">
        <v>261</v>
      </c>
      <c r="E482" s="84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</row>
    <row r="483" spans="1:24" ht="13.5" customHeight="1">
      <c r="A483" s="77" t="s">
        <v>514</v>
      </c>
      <c r="B483" s="104" t="s">
        <v>586</v>
      </c>
      <c r="C483" s="77" t="str">
        <f t="shared" si="11"/>
        <v>Ставрополь - Кисловодск - Ессентуки - Пятигорск - Ставрополь</v>
      </c>
      <c r="D483" s="83">
        <v>440</v>
      </c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</row>
    <row r="484" spans="1:24" ht="13.5" customHeight="1">
      <c r="A484" s="77" t="s">
        <v>514</v>
      </c>
      <c r="B484" s="77" t="s">
        <v>587</v>
      </c>
      <c r="C484" s="77" t="str">
        <f t="shared" si="11"/>
        <v>Ставрополь - Кочубеевское - Невинномысск - Ставрополь</v>
      </c>
      <c r="D484" s="80">
        <v>135</v>
      </c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</row>
    <row r="485" spans="1:24" ht="13.5" customHeight="1">
      <c r="A485" s="77" t="s">
        <v>514</v>
      </c>
      <c r="B485" s="82" t="s">
        <v>588</v>
      </c>
      <c r="C485" s="77" t="str">
        <f t="shared" si="11"/>
        <v>Ставрополь - Минеральные Воды - Пятигорск - Ессентуки - Кисловодск - Ставрополь</v>
      </c>
      <c r="D485" s="80">
        <v>446</v>
      </c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</row>
    <row r="486" spans="1:24" ht="13.5" customHeight="1">
      <c r="A486" s="77" t="s">
        <v>514</v>
      </c>
      <c r="B486" s="77" t="s">
        <v>589</v>
      </c>
      <c r="C486" s="77" t="str">
        <f t="shared" si="11"/>
        <v>Ставрополь - Невинномысск - Ставрополь</v>
      </c>
      <c r="D486" s="80">
        <v>117</v>
      </c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</row>
    <row r="487" spans="1:24" ht="13.5" customHeight="1">
      <c r="A487" s="77" t="s">
        <v>514</v>
      </c>
      <c r="B487" s="77" t="s">
        <v>590</v>
      </c>
      <c r="C487" s="77" t="str">
        <f t="shared" si="11"/>
        <v>Ставрополь - Невинномысск - Сенгилеевское - Ставрополь</v>
      </c>
      <c r="D487" s="80">
        <v>163</v>
      </c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</row>
    <row r="488" spans="1:24" ht="13.5" customHeight="1">
      <c r="A488" s="77" t="s">
        <v>514</v>
      </c>
      <c r="B488" s="77" t="s">
        <v>591</v>
      </c>
      <c r="C488" s="77" t="str">
        <f t="shared" si="11"/>
        <v>Ставрополь - Невинномысск - Кочубеевское - Барсуковская - Ставрополь</v>
      </c>
      <c r="D488" s="80">
        <v>147</v>
      </c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</row>
    <row r="489" spans="1:24" ht="13.5" customHeight="1">
      <c r="A489" s="77" t="s">
        <v>514</v>
      </c>
      <c r="B489" s="104" t="s">
        <v>592</v>
      </c>
      <c r="C489" s="77" t="str">
        <f t="shared" si="11"/>
        <v>Ставрополь - Рыздвяный - Изобильный - Ставрополь</v>
      </c>
      <c r="D489" s="103">
        <v>112</v>
      </c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</row>
    <row r="490" spans="1:24" ht="13.5" customHeight="1">
      <c r="A490" s="77" t="s">
        <v>514</v>
      </c>
      <c r="B490" s="82" t="s">
        <v>593</v>
      </c>
      <c r="C490" s="77" t="str">
        <f t="shared" si="11"/>
        <v>Ставрополь - Старомарьевское - Надежда - Грачёвка - Светлоград - Ставрополь</v>
      </c>
      <c r="D490" s="83">
        <v>172</v>
      </c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</row>
    <row r="491" spans="1:24" ht="13.5" customHeight="1">
      <c r="A491" s="77" t="s">
        <v>514</v>
      </c>
      <c r="B491" s="82" t="s">
        <v>594</v>
      </c>
      <c r="C491" s="77" t="str">
        <f t="shared" si="11"/>
        <v>Ставрополь - Пелагиада - Рыздвяный - Изобильный - Ставрополь</v>
      </c>
      <c r="D491" s="83">
        <v>120</v>
      </c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</row>
    <row r="492" spans="1:24" ht="13.5" customHeight="1">
      <c r="A492" s="77" t="s">
        <v>514</v>
      </c>
      <c r="B492" s="82" t="s">
        <v>595</v>
      </c>
      <c r="C492" s="77" t="str">
        <f t="shared" si="11"/>
        <v>Ставрополь - Пелагиада - Рыздвяный - Изобильный - Новоалександровск - Ставрополь</v>
      </c>
      <c r="D492" s="83">
        <v>214</v>
      </c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</row>
    <row r="493" spans="1:24" ht="13.5" customHeight="1">
      <c r="A493" s="77" t="s">
        <v>566</v>
      </c>
      <c r="B493" s="82" t="s">
        <v>589</v>
      </c>
      <c r="C493" s="82" t="s">
        <v>596</v>
      </c>
      <c r="D493" s="83">
        <v>1400</v>
      </c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</row>
    <row r="494" spans="1:24" ht="13.5" customHeight="1">
      <c r="A494" s="77" t="s">
        <v>514</v>
      </c>
      <c r="B494" s="82" t="s">
        <v>597</v>
      </c>
      <c r="C494" s="77" t="str">
        <f t="shared" ref="C494:C550" si="12">CONCATENATE(A494," - ",B494," - ",A494)</f>
        <v>Ставрополь - Рыздвяный - Изобильный - Новоаллександровск - Ставрополь</v>
      </c>
      <c r="D494" s="83">
        <v>207</v>
      </c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</row>
    <row r="495" spans="1:24" ht="13.5" customHeight="1">
      <c r="A495" s="77" t="s">
        <v>514</v>
      </c>
      <c r="B495" s="77" t="s">
        <v>598</v>
      </c>
      <c r="C495" s="77" t="str">
        <f t="shared" si="12"/>
        <v>Ставрополь - Черкесск - Кочубеевское - Барсуковский - Ставрополь</v>
      </c>
      <c r="D495" s="80">
        <v>283</v>
      </c>
      <c r="E495" s="85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</row>
    <row r="496" spans="1:24" ht="13.5" customHeight="1">
      <c r="A496" s="77" t="s">
        <v>352</v>
      </c>
      <c r="B496" s="77" t="s">
        <v>599</v>
      </c>
      <c r="C496" s="77" t="str">
        <f t="shared" si="12"/>
        <v>Тамбов - Расказово - Уварово - Тамбов</v>
      </c>
      <c r="D496" s="80">
        <v>238</v>
      </c>
      <c r="E496" s="85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</row>
    <row r="497" spans="1:24" ht="13.5" customHeight="1">
      <c r="A497" s="77" t="s">
        <v>352</v>
      </c>
      <c r="B497" s="82" t="s">
        <v>600</v>
      </c>
      <c r="C497" s="77" t="str">
        <f t="shared" si="12"/>
        <v>Тамбов - Рассказово - Тамбов</v>
      </c>
      <c r="D497" s="80">
        <v>64</v>
      </c>
      <c r="E497" s="85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</row>
    <row r="498" spans="1:24" ht="13.5" customHeight="1">
      <c r="A498" s="77" t="s">
        <v>352</v>
      </c>
      <c r="B498" s="77" t="s">
        <v>601</v>
      </c>
      <c r="C498" s="77" t="str">
        <f t="shared" si="12"/>
        <v>Тамбов - Уварово - Тамбов</v>
      </c>
      <c r="D498" s="80">
        <v>235</v>
      </c>
      <c r="E498" s="85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</row>
    <row r="499" spans="1:24" ht="13.5" customHeight="1">
      <c r="A499" s="77" t="s">
        <v>352</v>
      </c>
      <c r="B499" s="77" t="s">
        <v>602</v>
      </c>
      <c r="C499" s="77" t="str">
        <f t="shared" si="12"/>
        <v>Тамбов - Мичуринск - Тамбов</v>
      </c>
      <c r="D499" s="80">
        <v>149</v>
      </c>
      <c r="E499" s="85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</row>
    <row r="500" spans="1:24" ht="13.5" customHeight="1">
      <c r="A500" s="77" t="s">
        <v>445</v>
      </c>
      <c r="B500" s="77" t="s">
        <v>603</v>
      </c>
      <c r="C500" s="77" t="str">
        <f t="shared" si="12"/>
        <v>Томск - Асино - Томск</v>
      </c>
      <c r="D500" s="80">
        <v>244</v>
      </c>
      <c r="E500" s="85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</row>
    <row r="501" spans="1:24" ht="13.5" customHeight="1">
      <c r="A501" s="77" t="s">
        <v>445</v>
      </c>
      <c r="B501" s="77" t="s">
        <v>604</v>
      </c>
      <c r="C501" s="77" t="str">
        <f t="shared" si="12"/>
        <v>Томск - Асино - Первомайское - Томск</v>
      </c>
      <c r="D501" s="80">
        <v>251</v>
      </c>
      <c r="E501" s="85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</row>
    <row r="502" spans="1:24" ht="13.5" customHeight="1">
      <c r="A502" s="77" t="s">
        <v>445</v>
      </c>
      <c r="B502" s="77" t="s">
        <v>605</v>
      </c>
      <c r="C502" s="77" t="str">
        <f t="shared" si="12"/>
        <v>Томск - Зырянское - Асино - Первомайское - Томск</v>
      </c>
      <c r="D502" s="80">
        <v>311</v>
      </c>
      <c r="E502" s="85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</row>
    <row r="503" spans="1:24" ht="13.5" customHeight="1">
      <c r="A503" s="77" t="s">
        <v>445</v>
      </c>
      <c r="B503" s="77" t="s">
        <v>606</v>
      </c>
      <c r="C503" s="77" t="str">
        <f t="shared" si="12"/>
        <v>Томск - Колпашево - Томск</v>
      </c>
      <c r="D503" s="80">
        <v>632</v>
      </c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</row>
    <row r="504" spans="1:24" ht="13.5" customHeight="1">
      <c r="A504" s="77" t="s">
        <v>445</v>
      </c>
      <c r="B504" s="77" t="s">
        <v>607</v>
      </c>
      <c r="C504" s="77" t="str">
        <f t="shared" si="12"/>
        <v>Томск - Мельниково - Кривошеино - Молчаново - Чажемто - Колпашево - Тогур - Томск</v>
      </c>
      <c r="D504" s="80">
        <v>652</v>
      </c>
      <c r="E504" s="84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</row>
    <row r="505" spans="1:24" ht="13.5" customHeight="1">
      <c r="A505" s="77" t="s">
        <v>445</v>
      </c>
      <c r="B505" s="77" t="s">
        <v>608</v>
      </c>
      <c r="C505" s="77" t="str">
        <f t="shared" si="12"/>
        <v>Томск - Мельниково - Молчаново - Кривошеино - Чажемто - Колпашево - Томск</v>
      </c>
      <c r="D505" s="80">
        <v>652</v>
      </c>
      <c r="E505" s="85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</row>
    <row r="506" spans="1:24" ht="13.5" customHeight="1">
      <c r="A506" s="77" t="s">
        <v>445</v>
      </c>
      <c r="B506" s="77" t="s">
        <v>609</v>
      </c>
      <c r="C506" s="77" t="str">
        <f t="shared" si="12"/>
        <v>Томск - Юрга - Томск</v>
      </c>
      <c r="D506" s="80">
        <v>213</v>
      </c>
      <c r="E506" s="84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</row>
    <row r="507" spans="1:24" ht="13.5" customHeight="1">
      <c r="A507" s="77" t="s">
        <v>298</v>
      </c>
      <c r="B507" s="77" t="s">
        <v>295</v>
      </c>
      <c r="C507" s="77" t="str">
        <f t="shared" si="12"/>
        <v>Тула - Калуга - Тула</v>
      </c>
      <c r="D507" s="80">
        <v>233</v>
      </c>
      <c r="E507" s="84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</row>
    <row r="508" spans="1:24" ht="13.5" customHeight="1">
      <c r="A508" s="77" t="s">
        <v>235</v>
      </c>
      <c r="B508" s="77" t="s">
        <v>610</v>
      </c>
      <c r="C508" s="77" t="str">
        <f t="shared" si="12"/>
        <v>Тюмень - Богандинский - Заводоуковск - Тюмень</v>
      </c>
      <c r="D508" s="80">
        <v>205</v>
      </c>
      <c r="E508" s="85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</row>
    <row r="509" spans="1:24" ht="13.5" customHeight="1">
      <c r="A509" s="77" t="s">
        <v>235</v>
      </c>
      <c r="B509" s="125" t="s">
        <v>611</v>
      </c>
      <c r="C509" s="77" t="str">
        <f t="shared" si="12"/>
        <v>Тюмень - Заводоуковск - Тюмень</v>
      </c>
      <c r="D509" s="80">
        <v>202</v>
      </c>
      <c r="E509" s="85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</row>
    <row r="510" spans="1:24" ht="13.5" customHeight="1">
      <c r="A510" s="77" t="s">
        <v>235</v>
      </c>
      <c r="B510" s="109" t="s">
        <v>612</v>
      </c>
      <c r="C510" s="77" t="str">
        <f t="shared" si="12"/>
        <v>Тюмень - Ялуторовск - Заводоуковск - Тюмень</v>
      </c>
      <c r="D510" s="80">
        <v>214</v>
      </c>
      <c r="E510" s="85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</row>
    <row r="511" spans="1:24" ht="13.5" customHeight="1">
      <c r="A511" s="77" t="s">
        <v>235</v>
      </c>
      <c r="B511" s="77" t="s">
        <v>613</v>
      </c>
      <c r="C511" s="77" t="str">
        <f t="shared" si="12"/>
        <v>Тюмень - Боровский - Винзили - Ялуторовск - Тюмень</v>
      </c>
      <c r="D511" s="103">
        <v>173</v>
      </c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</row>
    <row r="512" spans="1:24" ht="13.5" customHeight="1">
      <c r="A512" s="77" t="s">
        <v>235</v>
      </c>
      <c r="B512" s="77" t="s">
        <v>614</v>
      </c>
      <c r="C512" s="77" t="str">
        <f t="shared" si="12"/>
        <v>Тюмень - Боровский - Винзили - Богандинский - Ялуторовск - Тюмень</v>
      </c>
      <c r="D512" s="103">
        <v>176</v>
      </c>
      <c r="E512" s="85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</row>
    <row r="513" spans="1:24" ht="13.5" customHeight="1">
      <c r="A513" s="77" t="s">
        <v>235</v>
      </c>
      <c r="B513" s="119" t="s">
        <v>615</v>
      </c>
      <c r="C513" s="77" t="str">
        <f t="shared" si="12"/>
        <v>Тюмень - Винзили - Богандинский - Ялуторовск - Тюмень</v>
      </c>
      <c r="D513" s="103">
        <v>166</v>
      </c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</row>
    <row r="514" spans="1:24" ht="13.5" customHeight="1">
      <c r="A514" s="77" t="s">
        <v>235</v>
      </c>
      <c r="B514" s="126" t="s">
        <v>616</v>
      </c>
      <c r="C514" s="77" t="str">
        <f t="shared" si="12"/>
        <v>Тюмень - Ялуторовск - Тюмень</v>
      </c>
      <c r="D514" s="103">
        <v>165</v>
      </c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</row>
    <row r="515" spans="1:24" ht="13.5" customHeight="1">
      <c r="A515" s="77" t="s">
        <v>235</v>
      </c>
      <c r="B515" s="97" t="s">
        <v>617</v>
      </c>
      <c r="C515" s="77" t="str">
        <f t="shared" si="12"/>
        <v>Тюмень - Нижняя Тавда - Тюмень</v>
      </c>
      <c r="D515" s="103">
        <v>172</v>
      </c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</row>
    <row r="516" spans="1:24" ht="13.5" customHeight="1">
      <c r="A516" s="77" t="s">
        <v>235</v>
      </c>
      <c r="B516" s="97" t="s">
        <v>618</v>
      </c>
      <c r="C516" s="77" t="str">
        <f t="shared" si="12"/>
        <v>Тюмень - Велижаны - Нижняя Тавда - Тюмень</v>
      </c>
      <c r="D516" s="83">
        <v>176</v>
      </c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</row>
    <row r="517" spans="1:24" ht="12.75" customHeight="1">
      <c r="A517" s="77" t="s">
        <v>235</v>
      </c>
      <c r="B517" s="97" t="s">
        <v>619</v>
      </c>
      <c r="C517" s="77" t="str">
        <f t="shared" si="12"/>
        <v>Тюмень - Велижаны - Нижняя Тавда - Боровский - Тюмень</v>
      </c>
      <c r="D517" s="83">
        <v>216</v>
      </c>
      <c r="E517" s="84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</row>
    <row r="518" spans="1:24" ht="12.75" customHeight="1">
      <c r="A518" s="77" t="s">
        <v>235</v>
      </c>
      <c r="B518" s="119" t="s">
        <v>620</v>
      </c>
      <c r="C518" s="77" t="str">
        <f t="shared" si="12"/>
        <v>Тюмень - Талица - Тугулым - Тюмень</v>
      </c>
      <c r="D518" s="83">
        <v>247</v>
      </c>
      <c r="E518" s="84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</row>
    <row r="519" spans="1:24" ht="12.75" customHeight="1">
      <c r="A519" s="77" t="s">
        <v>235</v>
      </c>
      <c r="B519" s="97" t="s">
        <v>621</v>
      </c>
      <c r="C519" s="77" t="str">
        <f t="shared" si="12"/>
        <v>Тюмень - Тюнево - Велижаны - Нижняя Тавда - Тюмень</v>
      </c>
      <c r="D519" s="83">
        <v>177</v>
      </c>
      <c r="E519" s="84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</row>
    <row r="520" spans="1:24" ht="12.75" customHeight="1">
      <c r="A520" s="77" t="s">
        <v>235</v>
      </c>
      <c r="B520" s="97" t="s">
        <v>622</v>
      </c>
      <c r="C520" s="77" t="str">
        <f t="shared" si="12"/>
        <v>Тюмень - Тобольск - Тюмень</v>
      </c>
      <c r="D520" s="83">
        <v>490</v>
      </c>
      <c r="E520" s="85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</row>
    <row r="521" spans="1:24" ht="12.75" customHeight="1">
      <c r="A521" s="97" t="s">
        <v>235</v>
      </c>
      <c r="B521" s="77" t="s">
        <v>623</v>
      </c>
      <c r="C521" s="77" t="str">
        <f t="shared" si="12"/>
        <v>Тюмень - Сургут - Тюмень</v>
      </c>
      <c r="D521" s="86">
        <v>1574</v>
      </c>
      <c r="E521" s="84"/>
      <c r="F521" s="85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</row>
    <row r="522" spans="1:24" ht="12.75" customHeight="1">
      <c r="A522" s="77" t="s">
        <v>624</v>
      </c>
      <c r="B522" s="104" t="s">
        <v>625</v>
      </c>
      <c r="C522" s="77" t="str">
        <f t="shared" si="12"/>
        <v>Улан-Удэ - Чита - Улан-Удэ</v>
      </c>
      <c r="D522" s="103">
        <v>1341</v>
      </c>
      <c r="E522" s="85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</row>
    <row r="523" spans="1:24" ht="12.75" customHeight="1">
      <c r="A523" s="97" t="s">
        <v>236</v>
      </c>
      <c r="B523" s="97" t="s">
        <v>626</v>
      </c>
      <c r="C523" s="77" t="str">
        <f t="shared" si="12"/>
        <v>Уфа - Аэропорт Уфа - Ишимбай - Салават - Мелеуз - Уфа</v>
      </c>
      <c r="D523" s="83">
        <v>443</v>
      </c>
      <c r="E523" s="84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</row>
    <row r="524" spans="1:24" ht="12.75" customHeight="1">
      <c r="A524" s="97" t="s">
        <v>236</v>
      </c>
      <c r="B524" s="97" t="s">
        <v>627</v>
      </c>
      <c r="C524" s="77" t="str">
        <f t="shared" si="12"/>
        <v>Уфа - Авдон - Алкино - Чишмы - Уфа</v>
      </c>
      <c r="D524" s="83">
        <v>131</v>
      </c>
      <c r="E524" s="84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</row>
    <row r="525" spans="1:24" ht="13.5" customHeight="1">
      <c r="A525" s="97" t="s">
        <v>236</v>
      </c>
      <c r="B525" s="97" t="s">
        <v>628</v>
      </c>
      <c r="C525" s="77" t="str">
        <f t="shared" si="12"/>
        <v>Уфа - Авдон - Алкино - Чишмы - Раевка - Уфа</v>
      </c>
      <c r="D525" s="83">
        <v>460</v>
      </c>
      <c r="E525" s="84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</row>
    <row r="526" spans="1:24" ht="13.5" customHeight="1">
      <c r="A526" s="97" t="s">
        <v>236</v>
      </c>
      <c r="B526" s="97" t="s">
        <v>629</v>
      </c>
      <c r="C526" s="77" t="str">
        <f t="shared" si="12"/>
        <v>Уфа - Авдон - Алкино - Чишмы - Давлеканово - Раевка - Уфа</v>
      </c>
      <c r="D526" s="83">
        <v>480</v>
      </c>
      <c r="E526" s="84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</row>
    <row r="527" spans="1:24" ht="13.5" customHeight="1">
      <c r="A527" s="97" t="s">
        <v>236</v>
      </c>
      <c r="B527" s="97" t="s">
        <v>629</v>
      </c>
      <c r="C527" s="77" t="str">
        <f t="shared" si="12"/>
        <v>Уфа - Авдон - Алкино - Чишмы - Давлеканово - Раевка - Уфа</v>
      </c>
      <c r="D527" s="83">
        <v>480</v>
      </c>
      <c r="E527" s="85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</row>
    <row r="528" spans="1:24" ht="13.5" customHeight="1">
      <c r="A528" s="97" t="s">
        <v>236</v>
      </c>
      <c r="B528" s="127" t="s">
        <v>630</v>
      </c>
      <c r="C528" s="77" t="str">
        <f t="shared" si="12"/>
        <v>Уфа - Благовещенск - Уфа</v>
      </c>
      <c r="D528" s="83">
        <v>96</v>
      </c>
      <c r="E528" s="84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</row>
    <row r="529" spans="1:24" ht="13.5" customHeight="1">
      <c r="A529" s="97" t="s">
        <v>236</v>
      </c>
      <c r="B529" s="76" t="s">
        <v>631</v>
      </c>
      <c r="C529" s="77" t="str">
        <f t="shared" si="12"/>
        <v>Уфа - Благовещенск - Михайловка - Уфа</v>
      </c>
      <c r="D529" s="83">
        <v>133</v>
      </c>
      <c r="E529" s="85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</row>
    <row r="530" spans="1:24" ht="13.5" customHeight="1">
      <c r="A530" s="97" t="s">
        <v>236</v>
      </c>
      <c r="B530" s="97" t="s">
        <v>632</v>
      </c>
      <c r="C530" s="77" t="str">
        <f t="shared" si="12"/>
        <v>Уфа - Благовещенск - Бирск - Иглино - Шакша - Бурцево - Уфа</v>
      </c>
      <c r="D530" s="83">
        <v>276</v>
      </c>
      <c r="E530" s="85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</row>
    <row r="531" spans="1:24" ht="13.5" customHeight="1">
      <c r="A531" s="97" t="s">
        <v>236</v>
      </c>
      <c r="B531" s="97" t="s">
        <v>633</v>
      </c>
      <c r="C531" s="77" t="str">
        <f t="shared" si="12"/>
        <v>Уфа - Благовещенск - Авдон - Алкино - Чишмы - Уфа</v>
      </c>
      <c r="D531" s="83">
        <v>227</v>
      </c>
      <c r="E531" s="84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</row>
    <row r="532" spans="1:24" ht="13.5" customHeight="1">
      <c r="A532" s="97" t="s">
        <v>236</v>
      </c>
      <c r="B532" s="97" t="s">
        <v>634</v>
      </c>
      <c r="C532" s="77" t="str">
        <f t="shared" si="12"/>
        <v>Уфа - Булгаково - Кармаскалы - Уфа</v>
      </c>
      <c r="D532" s="83">
        <v>109</v>
      </c>
      <c r="E532" s="85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</row>
    <row r="533" spans="1:24" ht="13.5" customHeight="1">
      <c r="A533" s="97" t="s">
        <v>236</v>
      </c>
      <c r="B533" s="97" t="s">
        <v>635</v>
      </c>
      <c r="C533" s="77" t="str">
        <f t="shared" si="12"/>
        <v>Уфа - Булгаково - Толбазы - Ишимбай - Салават - Мелеуз - Уфа</v>
      </c>
      <c r="D533" s="83">
        <v>444</v>
      </c>
      <c r="E533" s="85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</row>
    <row r="534" spans="1:24" ht="13.5" customHeight="1">
      <c r="A534" s="97" t="s">
        <v>236</v>
      </c>
      <c r="B534" s="97" t="s">
        <v>636</v>
      </c>
      <c r="C534" s="77" t="str">
        <f t="shared" si="12"/>
        <v>Уфа - Булгаково - Толбазы - Стерлитамак - Уфа</v>
      </c>
      <c r="D534" s="83">
        <v>258</v>
      </c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</row>
    <row r="535" spans="1:24" ht="13.5" customHeight="1">
      <c r="A535" s="97" t="s">
        <v>236</v>
      </c>
      <c r="B535" s="97" t="s">
        <v>637</v>
      </c>
      <c r="C535" s="77" t="str">
        <f t="shared" si="12"/>
        <v>Уфа - Верхнеяркеево - Кушнаренково - Уфа</v>
      </c>
      <c r="D535" s="83">
        <v>310</v>
      </c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</row>
    <row r="536" spans="1:24" ht="13.5" customHeight="1">
      <c r="A536" s="97" t="s">
        <v>236</v>
      </c>
      <c r="B536" s="97" t="s">
        <v>638</v>
      </c>
      <c r="C536" s="77" t="str">
        <f t="shared" si="12"/>
        <v>Уфа - Дюртюли - Уфа</v>
      </c>
      <c r="D536" s="83">
        <v>255</v>
      </c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</row>
    <row r="537" spans="1:24" ht="13.5" customHeight="1">
      <c r="A537" s="97" t="s">
        <v>236</v>
      </c>
      <c r="B537" s="128" t="s">
        <v>639</v>
      </c>
      <c r="C537" s="77" t="str">
        <f t="shared" si="12"/>
        <v>Уфа - Иглино - Уфа</v>
      </c>
      <c r="D537" s="83">
        <v>76</v>
      </c>
      <c r="E537" s="85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</row>
    <row r="538" spans="1:24" ht="13.5" customHeight="1">
      <c r="A538" s="97" t="s">
        <v>236</v>
      </c>
      <c r="B538" s="97" t="s">
        <v>640</v>
      </c>
      <c r="C538" s="77" t="str">
        <f t="shared" si="12"/>
        <v>Уфа - Иглино - Шакша - Уфа</v>
      </c>
      <c r="D538" s="83">
        <v>87</v>
      </c>
      <c r="E538" s="84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</row>
    <row r="539" spans="1:24" ht="13.5" customHeight="1">
      <c r="A539" s="97" t="s">
        <v>236</v>
      </c>
      <c r="B539" s="97" t="s">
        <v>641</v>
      </c>
      <c r="C539" s="77" t="str">
        <f t="shared" si="12"/>
        <v>Уфа - Иглино - Бурцево - Уфа</v>
      </c>
      <c r="D539" s="83">
        <v>94</v>
      </c>
      <c r="E539" s="84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</row>
    <row r="540" spans="1:24" ht="13.5" customHeight="1">
      <c r="A540" s="97" t="s">
        <v>236</v>
      </c>
      <c r="B540" s="97" t="s">
        <v>642</v>
      </c>
      <c r="C540" s="77" t="str">
        <f t="shared" si="12"/>
        <v>Уфа - Иглино - Бурцево - Нагаево - Уфа</v>
      </c>
      <c r="D540" s="83">
        <v>102</v>
      </c>
      <c r="E540" s="85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</row>
    <row r="541" spans="1:24" ht="13.5" customHeight="1">
      <c r="A541" s="97" t="s">
        <v>236</v>
      </c>
      <c r="B541" s="128" t="s">
        <v>643</v>
      </c>
      <c r="C541" s="77" t="str">
        <f t="shared" si="12"/>
        <v>Уфа - Иглино - Нагаево - Уфа</v>
      </c>
      <c r="D541" s="83">
        <v>104</v>
      </c>
      <c r="E541" s="84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</row>
    <row r="542" spans="1:24" ht="13.5" customHeight="1">
      <c r="A542" s="97" t="s">
        <v>236</v>
      </c>
      <c r="B542" s="128" t="s">
        <v>644</v>
      </c>
      <c r="C542" s="77" t="str">
        <f t="shared" si="12"/>
        <v>Уфа - Шакша - Иглино - Бурцево - Нагаево - Уфа</v>
      </c>
      <c r="D542" s="83">
        <v>111</v>
      </c>
      <c r="E542" s="84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</row>
    <row r="543" spans="1:24" ht="13.5" customHeight="1">
      <c r="A543" s="97" t="s">
        <v>236</v>
      </c>
      <c r="B543" s="128" t="s">
        <v>645</v>
      </c>
      <c r="C543" s="77" t="str">
        <f t="shared" si="12"/>
        <v>Уфа - Искитин - Уфа</v>
      </c>
      <c r="D543" s="83">
        <v>65</v>
      </c>
      <c r="E543" s="85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</row>
    <row r="544" spans="1:24" ht="13.5" customHeight="1">
      <c r="A544" s="97" t="s">
        <v>236</v>
      </c>
      <c r="B544" s="97" t="s">
        <v>646</v>
      </c>
      <c r="C544" s="77" t="str">
        <f t="shared" si="12"/>
        <v>Уфа - Кандры -Туймазы - Октябрьский  - Уфа</v>
      </c>
      <c r="D544" s="83">
        <v>384</v>
      </c>
      <c r="E544" s="85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</row>
    <row r="545" spans="1:24" ht="12.75" customHeight="1">
      <c r="A545" s="76" t="s">
        <v>236</v>
      </c>
      <c r="B545" s="129" t="s">
        <v>647</v>
      </c>
      <c r="C545" s="130" t="str">
        <f t="shared" si="12"/>
        <v>Уфа - Кандры - Белебей  - Октябрьский - Туймазы  - Уфа</v>
      </c>
      <c r="D545" s="83">
        <v>490</v>
      </c>
      <c r="E545" s="84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</row>
    <row r="546" spans="1:24" ht="13.5" customHeight="1">
      <c r="A546" s="97" t="s">
        <v>236</v>
      </c>
      <c r="B546" s="129" t="s">
        <v>648</v>
      </c>
      <c r="C546" s="130" t="str">
        <f t="shared" si="12"/>
        <v>Уфа - Кармаскалы - Уфа</v>
      </c>
      <c r="D546" s="131">
        <v>107</v>
      </c>
      <c r="E546" s="85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</row>
    <row r="547" spans="1:24" ht="13.5" customHeight="1">
      <c r="A547" s="132" t="s">
        <v>236</v>
      </c>
      <c r="B547" s="97" t="s">
        <v>649</v>
      </c>
      <c r="C547" s="77" t="str">
        <f t="shared" si="12"/>
        <v>Уфа - Кандры - Серафимовский - Туймазы - Уфа</v>
      </c>
      <c r="D547" s="83">
        <v>370</v>
      </c>
      <c r="E547" s="85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</row>
    <row r="548" spans="1:24" ht="13.5" customHeight="1">
      <c r="A548" s="97" t="s">
        <v>236</v>
      </c>
      <c r="B548" s="97" t="s">
        <v>650</v>
      </c>
      <c r="C548" s="77" t="str">
        <f t="shared" si="12"/>
        <v>Уфа - Кармаскалы - Чишмы - Уфа</v>
      </c>
      <c r="D548" s="83">
        <v>188</v>
      </c>
      <c r="E548" s="9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</row>
    <row r="549" spans="1:24" ht="13.5" customHeight="1">
      <c r="A549" s="97" t="s">
        <v>236</v>
      </c>
      <c r="B549" s="97" t="s">
        <v>651</v>
      </c>
      <c r="C549" s="77" t="str">
        <f t="shared" si="12"/>
        <v>Уфа - Кармаскалы - Ишимбай - Салават - Мелеуз - Уфа</v>
      </c>
      <c r="D549" s="83">
        <v>466</v>
      </c>
      <c r="E549" s="85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</row>
    <row r="550" spans="1:24" ht="13.5" customHeight="1">
      <c r="A550" s="97" t="s">
        <v>236</v>
      </c>
      <c r="B550" s="97" t="s">
        <v>652</v>
      </c>
      <c r="C550" s="77" t="str">
        <f t="shared" si="12"/>
        <v>Уфа - Кармаскалы - Нагаево - Уфа</v>
      </c>
      <c r="D550" s="83">
        <v>126</v>
      </c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</row>
    <row r="551" spans="1:24" ht="13.5" customHeight="1">
      <c r="A551" s="133" t="s">
        <v>236</v>
      </c>
      <c r="B551" s="97" t="s">
        <v>653</v>
      </c>
      <c r="C551" s="77" t="str">
        <f t="shared" ref="C551:C552" si="13">CONCATENATE(A553," - ",B551," - ",A553)</f>
        <v>Уфа - Кармаскалы - Стерлитамак - Уфа</v>
      </c>
      <c r="D551" s="83">
        <v>281</v>
      </c>
      <c r="E551" s="84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</row>
    <row r="552" spans="1:24" ht="11.25" customHeight="1">
      <c r="A552" s="133" t="s">
        <v>236</v>
      </c>
      <c r="B552" s="97" t="s">
        <v>654</v>
      </c>
      <c r="C552" s="77" t="str">
        <f t="shared" si="13"/>
        <v>Уфа - Миловка - Михайловка - Кушнаренково - Дюртюли - Уфа</v>
      </c>
      <c r="D552" s="83">
        <v>269</v>
      </c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</row>
    <row r="553" spans="1:24" ht="11.25" customHeight="1">
      <c r="A553" s="97" t="s">
        <v>236</v>
      </c>
      <c r="B553" s="134" t="s">
        <v>655</v>
      </c>
      <c r="C553" s="77" t="str">
        <f>CONCATENATE(A554," - ",B553," - ",A554)</f>
        <v>Уфа - Новая Отрадовка - Наумовка - Ишимбай - Салават - Мелеуз - Уфа</v>
      </c>
      <c r="D553" s="83">
        <v>454</v>
      </c>
      <c r="E553" s="85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</row>
    <row r="554" spans="1:24" ht="11.25" customHeight="1">
      <c r="A554" s="97" t="s">
        <v>236</v>
      </c>
      <c r="B554" s="97" t="s">
        <v>656</v>
      </c>
      <c r="C554" s="77" t="str">
        <f t="shared" ref="C554:C587" si="14">CONCATENATE(A554," - ",B554," - ",A554)</f>
        <v>Уфа - Салават - Уфа</v>
      </c>
      <c r="D554" s="83">
        <v>328</v>
      </c>
      <c r="E554" s="85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</row>
    <row r="555" spans="1:24" ht="11.25" customHeight="1">
      <c r="A555" s="97" t="s">
        <v>236</v>
      </c>
      <c r="B555" s="97" t="s">
        <v>657</v>
      </c>
      <c r="C555" s="77" t="str">
        <f t="shared" si="14"/>
        <v>Уфа - Ишимбай - Салават - Мелеуз - Уфа</v>
      </c>
      <c r="D555" s="83">
        <v>441</v>
      </c>
      <c r="E555" s="85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</row>
    <row r="556" spans="1:24" ht="11.25" customHeight="1">
      <c r="A556" s="97" t="s">
        <v>236</v>
      </c>
      <c r="B556" s="97" t="s">
        <v>658</v>
      </c>
      <c r="C556" s="77" t="str">
        <f t="shared" si="14"/>
        <v>Уфа - Стерлитамак - Уфа</v>
      </c>
      <c r="D556" s="83">
        <v>255</v>
      </c>
      <c r="E556" s="85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</row>
    <row r="557" spans="1:24" ht="11.25" customHeight="1">
      <c r="A557" s="97" t="s">
        <v>236</v>
      </c>
      <c r="B557" s="128" t="s">
        <v>659</v>
      </c>
      <c r="C557" s="77" t="str">
        <f t="shared" si="14"/>
        <v>Уфа - Стерлитамак - Толбазы - Уфа</v>
      </c>
      <c r="D557" s="83">
        <v>259</v>
      </c>
      <c r="E557" s="85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</row>
    <row r="558" spans="1:24" ht="11.25" customHeight="1">
      <c r="A558" s="97" t="s">
        <v>236</v>
      </c>
      <c r="B558" s="128" t="s">
        <v>660</v>
      </c>
      <c r="C558" s="77" t="str">
        <f t="shared" si="14"/>
        <v>Уфа - Стерлитамак - Рощинский - Кармаскалы - Уфа</v>
      </c>
      <c r="D558" s="83">
        <v>283</v>
      </c>
      <c r="E558" s="85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</row>
    <row r="559" spans="1:24" ht="11.25" customHeight="1">
      <c r="A559" s="97" t="s">
        <v>236</v>
      </c>
      <c r="B559" s="119" t="s">
        <v>661</v>
      </c>
      <c r="C559" s="77" t="str">
        <f t="shared" si="14"/>
        <v>Уфа - Толбазы - Стерлитамак - Кармаскалы - Уфа</v>
      </c>
      <c r="D559" s="83">
        <v>280</v>
      </c>
      <c r="E559" s="85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</row>
    <row r="560" spans="1:24" ht="11.25" customHeight="1">
      <c r="A560" s="97" t="s">
        <v>236</v>
      </c>
      <c r="B560" s="135" t="s">
        <v>662</v>
      </c>
      <c r="C560" s="77" t="str">
        <f t="shared" si="14"/>
        <v>Уфа - Толбазы - Ишимбай - Салават - Мелеуз - Исянгулово - Уфа</v>
      </c>
      <c r="D560" s="83">
        <v>701</v>
      </c>
      <c r="E560" s="85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</row>
    <row r="561" spans="1:24" ht="11.25" customHeight="1">
      <c r="A561" s="97" t="s">
        <v>236</v>
      </c>
      <c r="B561" s="128" t="s">
        <v>663</v>
      </c>
      <c r="C561" s="77" t="str">
        <f t="shared" si="14"/>
        <v>Уфа - Толбазы - Ишимбай - Салават - Мелеуз - Новая Отрадовка - Уфа</v>
      </c>
      <c r="D561" s="83">
        <v>450</v>
      </c>
      <c r="E561" s="85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</row>
    <row r="562" spans="1:24" ht="11.25" customHeight="1">
      <c r="A562" s="97" t="s">
        <v>236</v>
      </c>
      <c r="B562" s="128" t="s">
        <v>664</v>
      </c>
      <c r="C562" s="77" t="str">
        <f t="shared" si="14"/>
        <v>Уфа - Толбазы - Ишимбай - Салават - Мелеуз - Уфа</v>
      </c>
      <c r="D562" s="83">
        <v>441</v>
      </c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</row>
    <row r="563" spans="1:24" ht="11.25" customHeight="1">
      <c r="A563" s="97" t="s">
        <v>236</v>
      </c>
      <c r="B563" s="128" t="s">
        <v>665</v>
      </c>
      <c r="C563" s="77" t="str">
        <f t="shared" si="14"/>
        <v>Уфа - Ишимбай - Салават - Зирган - Мелеуз - Уфа</v>
      </c>
      <c r="D563" s="83">
        <v>441</v>
      </c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</row>
    <row r="564" spans="1:24" ht="11.25" customHeight="1">
      <c r="A564" s="97" t="s">
        <v>236</v>
      </c>
      <c r="B564" s="128" t="s">
        <v>666</v>
      </c>
      <c r="C564" s="77" t="str">
        <f t="shared" si="14"/>
        <v>Уфа - Толбазы - Наумовка - Ишимбай - Салават - Мелеуз - Уфа</v>
      </c>
      <c r="D564" s="83">
        <v>445</v>
      </c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</row>
    <row r="565" spans="1:24" ht="11.25" customHeight="1">
      <c r="A565" s="97" t="s">
        <v>236</v>
      </c>
      <c r="B565" s="128" t="s">
        <v>667</v>
      </c>
      <c r="C565" s="77" t="str">
        <f t="shared" si="14"/>
        <v>Уфа - Туймазы - Уфа</v>
      </c>
      <c r="D565" s="83">
        <v>347</v>
      </c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</row>
    <row r="566" spans="1:24" ht="11.25" customHeight="1">
      <c r="A566" s="97" t="s">
        <v>236</v>
      </c>
      <c r="B566" s="119" t="s">
        <v>668</v>
      </c>
      <c r="C566" s="77" t="str">
        <f t="shared" si="14"/>
        <v>Уфа - Шаран -Туймазы - Серафимовский - Уфа</v>
      </c>
      <c r="D566" s="83">
        <v>402</v>
      </c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</row>
    <row r="567" spans="1:24" ht="13.5" customHeight="1">
      <c r="A567" s="97" t="s">
        <v>236</v>
      </c>
      <c r="B567" s="136" t="s">
        <v>669</v>
      </c>
      <c r="C567" s="77" t="str">
        <f t="shared" si="14"/>
        <v>Уфа - Туймазы - Белебей - Уфа</v>
      </c>
      <c r="D567" s="83">
        <v>440</v>
      </c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</row>
    <row r="568" spans="1:24" ht="13.5" customHeight="1">
      <c r="A568" s="97" t="s">
        <v>236</v>
      </c>
      <c r="B568" s="128" t="s">
        <v>670</v>
      </c>
      <c r="C568" s="77" t="str">
        <f t="shared" si="14"/>
        <v>Уфа - Нефтекамск - Агидель - Уфа</v>
      </c>
      <c r="D568" s="83">
        <v>473</v>
      </c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</row>
    <row r="569" spans="1:24" ht="13.5" customHeight="1">
      <c r="A569" s="97" t="s">
        <v>236</v>
      </c>
      <c r="B569" s="137" t="s">
        <v>671</v>
      </c>
      <c r="C569" s="77" t="str">
        <f t="shared" si="14"/>
        <v>Уфа - Кушнаренково - Дюртюли - Нефтекамск - Уфа</v>
      </c>
      <c r="D569" s="83">
        <v>428</v>
      </c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</row>
    <row r="570" spans="1:24" ht="13.5" customHeight="1">
      <c r="A570" s="97" t="s">
        <v>236</v>
      </c>
      <c r="B570" s="137" t="s">
        <v>672</v>
      </c>
      <c r="C570" s="77" t="str">
        <f t="shared" si="14"/>
        <v>Уфа - Кушнаренково - Дюртюли  - Агидель - Нефтекамск - Уфа</v>
      </c>
      <c r="D570" s="83">
        <v>477</v>
      </c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</row>
    <row r="571" spans="1:24" ht="13.5" customHeight="1">
      <c r="A571" s="97" t="s">
        <v>236</v>
      </c>
      <c r="B571" s="128" t="s">
        <v>673</v>
      </c>
      <c r="C571" s="77" t="str">
        <f t="shared" si="14"/>
        <v>Уфа - Кушнаренково - Дюртюли - Агидель - Нефтекамск - Верхние Татышлы - Уфа</v>
      </c>
      <c r="D571" s="83">
        <v>606</v>
      </c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</row>
    <row r="572" spans="1:24" ht="13.5" customHeight="1">
      <c r="A572" s="97" t="s">
        <v>236</v>
      </c>
      <c r="B572" s="128" t="s">
        <v>674</v>
      </c>
      <c r="C572" s="77" t="str">
        <f t="shared" si="14"/>
        <v>Уфа - Чишмы - Уфа</v>
      </c>
      <c r="D572" s="83">
        <v>114</v>
      </c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</row>
    <row r="573" spans="1:24" ht="13.5" customHeight="1">
      <c r="A573" s="77" t="s">
        <v>262</v>
      </c>
      <c r="B573" s="104" t="s">
        <v>675</v>
      </c>
      <c r="C573" s="77" t="str">
        <f t="shared" si="14"/>
        <v>Чебоксары - Йошкар-Ола - Чебоксары</v>
      </c>
      <c r="D573" s="83">
        <v>186</v>
      </c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</row>
    <row r="574" spans="1:24" ht="13.5" customHeight="1">
      <c r="A574" s="77" t="s">
        <v>262</v>
      </c>
      <c r="B574" s="77" t="s">
        <v>676</v>
      </c>
      <c r="C574" s="77" t="str">
        <f t="shared" si="14"/>
        <v>Чебоксары - Канаш - Чебоксары</v>
      </c>
      <c r="D574" s="80">
        <v>164</v>
      </c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</row>
    <row r="575" spans="1:24" ht="13.5" customHeight="1">
      <c r="A575" s="77" t="s">
        <v>240</v>
      </c>
      <c r="B575" s="77" t="s">
        <v>212</v>
      </c>
      <c r="C575" s="77" t="str">
        <f t="shared" si="14"/>
        <v>Челябинск - Курган - Челябинск</v>
      </c>
      <c r="D575" s="80">
        <v>535</v>
      </c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</row>
    <row r="576" spans="1:24" ht="13.5" customHeight="1">
      <c r="A576" s="77" t="s">
        <v>240</v>
      </c>
      <c r="B576" s="77" t="s">
        <v>677</v>
      </c>
      <c r="C576" s="77" t="str">
        <f t="shared" si="14"/>
        <v>Челябинск - Магнитогорск - Челябинск</v>
      </c>
      <c r="D576" s="80">
        <v>619</v>
      </c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</row>
    <row r="577" spans="1:24" ht="13.5" customHeight="1">
      <c r="A577" s="77" t="s">
        <v>240</v>
      </c>
      <c r="B577" s="82" t="s">
        <v>678</v>
      </c>
      <c r="C577" s="77" t="str">
        <f t="shared" si="14"/>
        <v>Челябинск - Миасс - Златоуст - Челябинск</v>
      </c>
      <c r="D577" s="83">
        <v>290</v>
      </c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</row>
    <row r="578" spans="1:24" ht="13.5" customHeight="1">
      <c r="A578" s="138" t="s">
        <v>240</v>
      </c>
      <c r="B578" s="77" t="s">
        <v>679</v>
      </c>
      <c r="C578" s="77" t="str">
        <f t="shared" si="14"/>
        <v>Челябинск - Чебаркуль - Челябинск</v>
      </c>
      <c r="D578" s="80">
        <v>165</v>
      </c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</row>
    <row r="579" spans="1:24" ht="13.5" customHeight="1">
      <c r="A579" s="138" t="s">
        <v>240</v>
      </c>
      <c r="B579" s="77" t="s">
        <v>680</v>
      </c>
      <c r="C579" s="77" t="str">
        <f t="shared" si="14"/>
        <v>Челябинск - Чебаркуль - Миасс - Челябинск</v>
      </c>
      <c r="D579" s="80">
        <v>213</v>
      </c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</row>
    <row r="580" spans="1:24" ht="13.5" customHeight="1">
      <c r="A580" s="138" t="s">
        <v>152</v>
      </c>
      <c r="B580" s="77" t="s">
        <v>151</v>
      </c>
      <c r="C580" s="77" t="str">
        <f t="shared" si="14"/>
        <v>Череповец - Вологда - Череповец</v>
      </c>
      <c r="D580" s="83">
        <v>290</v>
      </c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</row>
    <row r="581" spans="1:24" ht="13.5" customHeight="1">
      <c r="A581" s="138" t="s">
        <v>152</v>
      </c>
      <c r="B581" s="77" t="s">
        <v>681</v>
      </c>
      <c r="C581" s="77" t="str">
        <f t="shared" si="14"/>
        <v>Череповец - Шексна - Вологда - Череповец</v>
      </c>
      <c r="D581" s="83">
        <v>282</v>
      </c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</row>
    <row r="582" spans="1:24" ht="13.5" customHeight="1">
      <c r="A582" s="139" t="s">
        <v>396</v>
      </c>
      <c r="B582" s="77" t="s">
        <v>682</v>
      </c>
      <c r="C582" s="77" t="str">
        <f t="shared" si="14"/>
        <v>Ярославль - Данилов - Ярославль</v>
      </c>
      <c r="D582" s="80">
        <v>137</v>
      </c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</row>
    <row r="583" spans="1:24" ht="13.5" customHeight="1">
      <c r="A583" s="81" t="s">
        <v>396</v>
      </c>
      <c r="B583" s="77" t="s">
        <v>143</v>
      </c>
      <c r="C583" s="77" t="str">
        <f t="shared" si="14"/>
        <v>Ярославль - Иваново - Ярославль</v>
      </c>
      <c r="D583" s="80">
        <v>234</v>
      </c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</row>
    <row r="584" spans="1:24" ht="13.5" customHeight="1">
      <c r="A584" s="140" t="s">
        <v>396</v>
      </c>
      <c r="B584" s="77" t="s">
        <v>381</v>
      </c>
      <c r="C584" s="77" t="str">
        <f t="shared" si="14"/>
        <v>Ярославль - Кострома - Ярославль</v>
      </c>
      <c r="D584" s="83">
        <v>169</v>
      </c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</row>
    <row r="585" spans="1:24" ht="13.5" customHeight="1">
      <c r="A585" s="140" t="s">
        <v>396</v>
      </c>
      <c r="B585" s="77" t="s">
        <v>683</v>
      </c>
      <c r="C585" s="77" t="str">
        <f t="shared" si="14"/>
        <v>Ярославль - Ростов - Ярославль</v>
      </c>
      <c r="D585" s="103">
        <v>119</v>
      </c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</row>
    <row r="586" spans="1:24" ht="13.5" customHeight="1">
      <c r="A586" s="140" t="s">
        <v>396</v>
      </c>
      <c r="B586" s="97" t="s">
        <v>684</v>
      </c>
      <c r="C586" s="77" t="str">
        <f t="shared" si="14"/>
        <v>Ярославль - Рыбинск - Ярославль</v>
      </c>
      <c r="D586" s="83">
        <v>170</v>
      </c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</row>
    <row r="587" spans="1:24" ht="13.5" customHeight="1">
      <c r="A587" s="140" t="s">
        <v>396</v>
      </c>
      <c r="B587" s="77" t="s">
        <v>685</v>
      </c>
      <c r="C587" s="77" t="str">
        <f t="shared" si="14"/>
        <v>Ярославль - Переславль-Залесский - Ярославль</v>
      </c>
      <c r="D587" s="86">
        <v>240</v>
      </c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</row>
    <row r="588" spans="1:24" ht="13.5" customHeight="1">
      <c r="A588" s="140"/>
      <c r="B588" s="77"/>
      <c r="C588" s="77"/>
      <c r="D588" s="8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</row>
    <row r="589" spans="1:24" ht="13.5" customHeight="1">
      <c r="A589" s="140"/>
      <c r="B589" s="77"/>
      <c r="C589" s="77"/>
      <c r="D589" s="8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</row>
    <row r="590" spans="1:24" ht="13.5" customHeight="1">
      <c r="A590" s="140"/>
      <c r="B590" s="77"/>
      <c r="C590" s="77"/>
      <c r="D590" s="8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</row>
    <row r="591" spans="1:24" ht="13.5" customHeight="1">
      <c r="A591" s="140"/>
      <c r="B591" s="77"/>
      <c r="C591" s="77"/>
      <c r="D591" s="8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</row>
    <row r="592" spans="1:24" ht="13.5" customHeight="1">
      <c r="A592" s="140"/>
      <c r="B592" s="77"/>
      <c r="C592" s="77"/>
      <c r="D592" s="8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</row>
    <row r="593" spans="1:24" ht="13.5" customHeight="1">
      <c r="A593" s="140"/>
      <c r="B593" s="77"/>
      <c r="C593" s="77"/>
      <c r="D593" s="8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</row>
    <row r="594" spans="1:24" ht="13.5" customHeight="1">
      <c r="A594" s="140"/>
      <c r="B594" s="77"/>
      <c r="C594" s="77"/>
      <c r="D594" s="8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</row>
    <row r="595" spans="1:24" ht="13.5" customHeight="1">
      <c r="A595" s="140"/>
      <c r="B595" s="77"/>
      <c r="C595" s="77"/>
      <c r="D595" s="8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</row>
    <row r="596" spans="1:24" ht="13.5" customHeight="1">
      <c r="A596" s="140"/>
      <c r="B596" s="77"/>
      <c r="C596" s="77"/>
      <c r="D596" s="8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</row>
    <row r="597" spans="1:24" ht="13.5" customHeight="1">
      <c r="A597" s="140"/>
      <c r="B597" s="77"/>
      <c r="C597" s="77"/>
      <c r="D597" s="8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</row>
    <row r="598" spans="1:24" ht="13.5" customHeight="1">
      <c r="A598" s="140"/>
      <c r="B598" s="77"/>
      <c r="C598" s="77"/>
      <c r="D598" s="8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</row>
    <row r="599" spans="1:24" ht="13.5" customHeight="1">
      <c r="A599" s="140"/>
      <c r="B599" s="77"/>
      <c r="C599" s="77"/>
      <c r="D599" s="8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</row>
    <row r="600" spans="1:24" ht="13.5" customHeight="1">
      <c r="A600" s="140"/>
      <c r="B600" s="77"/>
      <c r="C600" s="77"/>
      <c r="D600" s="8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</row>
    <row r="601" spans="1:24" ht="13.5" customHeight="1">
      <c r="A601" s="140"/>
      <c r="B601" s="77"/>
      <c r="C601" s="77"/>
      <c r="D601" s="8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</row>
    <row r="602" spans="1:24" ht="13.5" customHeight="1">
      <c r="A602" s="140"/>
      <c r="B602" s="77"/>
      <c r="C602" s="77"/>
      <c r="D602" s="8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</row>
    <row r="603" spans="1:24" ht="13.5" customHeight="1">
      <c r="A603" s="140"/>
      <c r="B603" s="77"/>
      <c r="C603" s="77"/>
      <c r="D603" s="8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</row>
    <row r="604" spans="1:24" ht="13.5" customHeight="1">
      <c r="A604" s="140"/>
      <c r="B604" s="77"/>
      <c r="C604" s="77"/>
      <c r="D604" s="8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</row>
    <row r="605" spans="1:24" ht="13.5" customHeight="1">
      <c r="A605" s="140"/>
      <c r="B605" s="77"/>
      <c r="C605" s="77"/>
      <c r="D605" s="8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</row>
    <row r="606" spans="1:24" ht="13.5" customHeight="1">
      <c r="A606" s="140"/>
      <c r="B606" s="77"/>
      <c r="C606" s="77"/>
      <c r="D606" s="8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</row>
    <row r="607" spans="1:24" ht="13.5" customHeight="1">
      <c r="A607" s="140"/>
      <c r="B607" s="77"/>
      <c r="C607" s="77"/>
      <c r="D607" s="8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</row>
    <row r="608" spans="1:24" ht="13.5" customHeight="1">
      <c r="A608" s="140"/>
      <c r="B608" s="77"/>
      <c r="C608" s="77"/>
      <c r="D608" s="8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</row>
    <row r="609" spans="1:24" ht="13.5" customHeight="1">
      <c r="A609" s="140"/>
      <c r="B609" s="77"/>
      <c r="C609" s="77"/>
      <c r="D609" s="8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</row>
    <row r="610" spans="1:24" ht="13.5" customHeight="1">
      <c r="A610" s="140"/>
      <c r="B610" s="77"/>
      <c r="C610" s="77"/>
      <c r="D610" s="8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</row>
    <row r="611" spans="1:24" ht="13.5" customHeight="1">
      <c r="A611" s="140"/>
      <c r="B611" s="77"/>
      <c r="C611" s="77"/>
      <c r="D611" s="8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</row>
    <row r="612" spans="1:24" ht="13.5" customHeight="1">
      <c r="A612" s="140"/>
      <c r="B612" s="77"/>
      <c r="C612" s="77"/>
      <c r="D612" s="8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</row>
    <row r="613" spans="1:24" ht="13.5" customHeight="1">
      <c r="A613" s="140"/>
      <c r="B613" s="77"/>
      <c r="C613" s="77"/>
      <c r="D613" s="8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</row>
    <row r="614" spans="1:24" ht="13.5" customHeight="1">
      <c r="A614" s="140"/>
      <c r="B614" s="77"/>
      <c r="C614" s="77"/>
      <c r="D614" s="8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</row>
    <row r="615" spans="1:24" ht="13.5" customHeight="1">
      <c r="A615" s="140"/>
      <c r="B615" s="77"/>
      <c r="C615" s="77"/>
      <c r="D615" s="8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</row>
    <row r="616" spans="1:24" ht="13.5" customHeight="1">
      <c r="A616" s="140"/>
      <c r="B616" s="77"/>
      <c r="C616" s="77"/>
      <c r="D616" s="8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</row>
    <row r="617" spans="1:24" ht="13.5" customHeight="1">
      <c r="A617" s="140"/>
      <c r="B617" s="77"/>
      <c r="C617" s="77"/>
      <c r="D617" s="8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</row>
    <row r="618" spans="1:24" ht="13.5" customHeight="1">
      <c r="A618" s="121"/>
      <c r="B618" s="121"/>
      <c r="C618" s="121"/>
      <c r="D618" s="141"/>
      <c r="E618" s="121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</row>
    <row r="619" spans="1:24" ht="13.5" customHeight="1">
      <c r="A619" s="121"/>
      <c r="B619" s="121"/>
      <c r="C619" s="121"/>
      <c r="D619" s="141"/>
      <c r="E619" s="121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</row>
    <row r="620" spans="1:24" ht="13.5" customHeight="1">
      <c r="A620" s="121"/>
      <c r="B620" s="121"/>
      <c r="C620" s="121"/>
      <c r="D620" s="141"/>
      <c r="E620" s="121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</row>
    <row r="621" spans="1:24" ht="13.5" customHeight="1">
      <c r="A621" s="121"/>
      <c r="B621" s="121"/>
      <c r="C621" s="121"/>
      <c r="D621" s="141"/>
      <c r="E621" s="121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</row>
    <row r="622" spans="1:24" ht="13.5" customHeight="1">
      <c r="A622" s="121"/>
      <c r="B622" s="121"/>
      <c r="C622" s="121"/>
      <c r="D622" s="141"/>
      <c r="E622" s="121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</row>
    <row r="623" spans="1:24" ht="13.5" customHeight="1">
      <c r="A623" s="121"/>
      <c r="B623" s="121"/>
      <c r="C623" s="121"/>
      <c r="D623" s="141"/>
      <c r="E623" s="121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</row>
    <row r="624" spans="1:24" ht="13.5" customHeight="1">
      <c r="A624" s="121"/>
      <c r="B624" s="121"/>
      <c r="C624" s="121"/>
      <c r="D624" s="141"/>
      <c r="E624" s="121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</row>
    <row r="625" spans="1:24" ht="13.5" customHeight="1">
      <c r="A625" s="121"/>
      <c r="B625" s="121"/>
      <c r="C625" s="121"/>
      <c r="D625" s="141"/>
      <c r="E625" s="121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</row>
    <row r="626" spans="1:24" ht="13.5" customHeight="1">
      <c r="A626" s="121"/>
      <c r="B626" s="121"/>
      <c r="C626" s="121"/>
      <c r="D626" s="141"/>
      <c r="E626" s="121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</row>
    <row r="627" spans="1:24" ht="13.5" customHeight="1">
      <c r="A627" s="121"/>
      <c r="B627" s="121"/>
      <c r="C627" s="121"/>
      <c r="D627" s="141"/>
      <c r="E627" s="121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</row>
    <row r="628" spans="1:24" ht="13.5" customHeight="1">
      <c r="A628" s="121"/>
      <c r="B628" s="121"/>
      <c r="C628" s="121"/>
      <c r="D628" s="141"/>
      <c r="E628" s="121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</row>
    <row r="629" spans="1:24" ht="13.5" customHeight="1">
      <c r="A629" s="121"/>
      <c r="B629" s="121"/>
      <c r="C629" s="121"/>
      <c r="D629" s="141"/>
      <c r="E629" s="121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</row>
    <row r="630" spans="1:24" ht="13.5" customHeight="1">
      <c r="A630" s="121"/>
      <c r="B630" s="121"/>
      <c r="C630" s="121"/>
      <c r="D630" s="141"/>
      <c r="E630" s="121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</row>
    <row r="631" spans="1:24" ht="13.5" customHeight="1">
      <c r="A631" s="121"/>
      <c r="B631" s="121"/>
      <c r="C631" s="121"/>
      <c r="D631" s="141"/>
      <c r="E631" s="121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</row>
    <row r="632" spans="1:24" ht="13.5" customHeight="1">
      <c r="A632" s="121"/>
      <c r="B632" s="121"/>
      <c r="C632" s="121"/>
      <c r="D632" s="141"/>
      <c r="E632" s="121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</row>
    <row r="633" spans="1:24" ht="13.5" customHeight="1">
      <c r="A633" s="121"/>
      <c r="B633" s="121"/>
      <c r="C633" s="121"/>
      <c r="D633" s="141"/>
      <c r="E633" s="121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</row>
    <row r="634" spans="1:24" ht="13.5" customHeight="1">
      <c r="A634" s="121"/>
      <c r="B634" s="121"/>
      <c r="C634" s="121"/>
      <c r="D634" s="141"/>
      <c r="E634" s="121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</row>
    <row r="635" spans="1:24" ht="13.5" customHeight="1">
      <c r="A635" s="121"/>
      <c r="B635" s="121"/>
      <c r="C635" s="121"/>
      <c r="D635" s="141"/>
      <c r="E635" s="121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</row>
    <row r="636" spans="1:24" ht="13.5" customHeight="1">
      <c r="A636" s="121"/>
      <c r="B636" s="121"/>
      <c r="C636" s="121"/>
      <c r="D636" s="141"/>
      <c r="E636" s="121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</row>
    <row r="637" spans="1:24" ht="13.5" customHeight="1">
      <c r="A637" s="121"/>
      <c r="B637" s="121"/>
      <c r="C637" s="121"/>
      <c r="D637" s="141"/>
      <c r="E637" s="121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</row>
    <row r="638" spans="1:24" ht="13.5" customHeight="1">
      <c r="A638" s="121"/>
      <c r="B638" s="121"/>
      <c r="C638" s="121"/>
      <c r="D638" s="141"/>
      <c r="E638" s="121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</row>
    <row r="639" spans="1:24" ht="13.5" customHeight="1">
      <c r="A639" s="121"/>
      <c r="B639" s="121"/>
      <c r="C639" s="121"/>
      <c r="D639" s="141"/>
      <c r="E639" s="121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</row>
    <row r="640" spans="1:24" ht="13.5" customHeight="1">
      <c r="A640" s="121"/>
      <c r="B640" s="121"/>
      <c r="C640" s="121"/>
      <c r="D640" s="141"/>
      <c r="E640" s="121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</row>
    <row r="641" spans="1:24" ht="13.5" customHeight="1">
      <c r="A641" s="121"/>
      <c r="B641" s="121"/>
      <c r="C641" s="121"/>
      <c r="D641" s="141"/>
      <c r="E641" s="121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</row>
    <row r="642" spans="1:24" ht="13.5" customHeight="1">
      <c r="A642" s="121"/>
      <c r="B642" s="121"/>
      <c r="C642" s="121"/>
      <c r="D642" s="141"/>
      <c r="E642" s="121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</row>
    <row r="643" spans="1:24" ht="13.5" customHeight="1">
      <c r="A643" s="121"/>
      <c r="B643" s="121"/>
      <c r="C643" s="121"/>
      <c r="D643" s="141"/>
      <c r="E643" s="121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</row>
    <row r="644" spans="1:24" ht="13.5" customHeight="1">
      <c r="A644" s="121"/>
      <c r="B644" s="121"/>
      <c r="C644" s="121"/>
      <c r="D644" s="141"/>
      <c r="E644" s="121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</row>
    <row r="645" spans="1:24" ht="13.5" customHeight="1">
      <c r="A645" s="121"/>
      <c r="B645" s="121"/>
      <c r="C645" s="121"/>
      <c r="D645" s="141"/>
      <c r="E645" s="121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</row>
    <row r="646" spans="1:24" ht="13.5" customHeight="1">
      <c r="A646" s="121"/>
      <c r="B646" s="121"/>
      <c r="C646" s="121"/>
      <c r="D646" s="141"/>
      <c r="E646" s="121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</row>
    <row r="647" spans="1:24" ht="13.5" customHeight="1">
      <c r="A647" s="121"/>
      <c r="B647" s="121"/>
      <c r="C647" s="121"/>
      <c r="D647" s="141"/>
      <c r="E647" s="121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</row>
    <row r="648" spans="1:24" ht="13.5" customHeight="1">
      <c r="A648" s="121"/>
      <c r="B648" s="121"/>
      <c r="C648" s="121"/>
      <c r="D648" s="141"/>
      <c r="E648" s="121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</row>
    <row r="649" spans="1:24" ht="13.5" customHeight="1">
      <c r="A649" s="121"/>
      <c r="B649" s="121"/>
      <c r="C649" s="121"/>
      <c r="D649" s="141"/>
      <c r="E649" s="121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</row>
    <row r="650" spans="1:24" ht="13.5" customHeight="1">
      <c r="A650" s="121"/>
      <c r="B650" s="121"/>
      <c r="C650" s="121"/>
      <c r="D650" s="141"/>
      <c r="E650" s="121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</row>
    <row r="651" spans="1:24" ht="13.5" customHeight="1">
      <c r="A651" s="121"/>
      <c r="B651" s="121"/>
      <c r="C651" s="121"/>
      <c r="D651" s="141"/>
      <c r="E651" s="121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</row>
    <row r="652" spans="1:24" ht="13.5" customHeight="1">
      <c r="A652" s="121"/>
      <c r="B652" s="121"/>
      <c r="C652" s="121"/>
      <c r="D652" s="141"/>
      <c r="E652" s="121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</row>
    <row r="653" spans="1:24" ht="13.5" customHeight="1">
      <c r="A653" s="121"/>
      <c r="B653" s="121"/>
      <c r="C653" s="121"/>
      <c r="D653" s="141"/>
      <c r="E653" s="121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</row>
    <row r="654" spans="1:24" ht="13.5" customHeight="1">
      <c r="A654" s="121"/>
      <c r="B654" s="121"/>
      <c r="C654" s="121"/>
      <c r="D654" s="141"/>
      <c r="E654" s="121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</row>
    <row r="655" spans="1:24" ht="13.5" customHeight="1">
      <c r="A655" s="121"/>
      <c r="B655" s="121"/>
      <c r="C655" s="121"/>
      <c r="D655" s="141"/>
      <c r="E655" s="121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</row>
    <row r="656" spans="1:24" ht="13.5" customHeight="1">
      <c r="A656" s="121"/>
      <c r="B656" s="121"/>
      <c r="C656" s="121"/>
      <c r="D656" s="141"/>
      <c r="E656" s="121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</row>
    <row r="657" spans="1:24" ht="13.5" customHeight="1">
      <c r="A657" s="121"/>
      <c r="B657" s="121"/>
      <c r="C657" s="121"/>
      <c r="D657" s="141"/>
      <c r="E657" s="121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</row>
    <row r="658" spans="1:24" ht="13.5" customHeight="1">
      <c r="A658" s="121"/>
      <c r="B658" s="121"/>
      <c r="C658" s="121"/>
      <c r="D658" s="141"/>
      <c r="E658" s="121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</row>
    <row r="659" spans="1:24" ht="13.5" customHeight="1">
      <c r="A659" s="121"/>
      <c r="B659" s="121"/>
      <c r="C659" s="121"/>
      <c r="D659" s="141"/>
      <c r="E659" s="121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</row>
    <row r="660" spans="1:24" ht="13.5" customHeight="1">
      <c r="A660" s="121"/>
      <c r="B660" s="121"/>
      <c r="C660" s="121"/>
      <c r="D660" s="141"/>
      <c r="E660" s="121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</row>
    <row r="661" spans="1:24" ht="13.5" customHeight="1">
      <c r="A661" s="121"/>
      <c r="B661" s="121"/>
      <c r="C661" s="121"/>
      <c r="D661" s="141"/>
      <c r="E661" s="121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</row>
    <row r="662" spans="1:24" ht="13.5" customHeight="1">
      <c r="A662" s="121"/>
      <c r="B662" s="121"/>
      <c r="C662" s="121"/>
      <c r="D662" s="141"/>
      <c r="E662" s="121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</row>
    <row r="663" spans="1:24" ht="13.5" customHeight="1">
      <c r="A663" s="121"/>
      <c r="B663" s="121"/>
      <c r="C663" s="121"/>
      <c r="D663" s="141"/>
      <c r="E663" s="121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</row>
    <row r="664" spans="1:24" ht="13.5" customHeight="1">
      <c r="A664" s="121"/>
      <c r="B664" s="121"/>
      <c r="C664" s="121"/>
      <c r="D664" s="141"/>
      <c r="E664" s="121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</row>
    <row r="665" spans="1:24" ht="13.5" customHeight="1">
      <c r="A665" s="121"/>
      <c r="B665" s="121"/>
      <c r="C665" s="121"/>
      <c r="D665" s="141"/>
      <c r="E665" s="121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</row>
    <row r="666" spans="1:24" ht="13.5" customHeight="1">
      <c r="A666" s="121"/>
      <c r="B666" s="121"/>
      <c r="C666" s="121"/>
      <c r="D666" s="141"/>
      <c r="E666" s="121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</row>
    <row r="667" spans="1:24" ht="13.5" customHeight="1">
      <c r="A667" s="121"/>
      <c r="B667" s="121"/>
      <c r="C667" s="121"/>
      <c r="D667" s="141"/>
      <c r="E667" s="121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</row>
    <row r="668" spans="1:24" ht="13.5" customHeight="1">
      <c r="A668" s="121"/>
      <c r="B668" s="121"/>
      <c r="C668" s="121"/>
      <c r="D668" s="141"/>
      <c r="E668" s="121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</row>
    <row r="669" spans="1:24" ht="13.5" customHeight="1">
      <c r="A669" s="121"/>
      <c r="B669" s="121"/>
      <c r="C669" s="121"/>
      <c r="D669" s="141"/>
      <c r="E669" s="121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</row>
    <row r="670" spans="1:24" ht="13.5" customHeight="1">
      <c r="A670" s="121"/>
      <c r="B670" s="121"/>
      <c r="C670" s="121"/>
      <c r="D670" s="141"/>
      <c r="E670" s="121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</row>
    <row r="671" spans="1:24" ht="13.5" customHeight="1">
      <c r="A671" s="121"/>
      <c r="B671" s="121"/>
      <c r="C671" s="121"/>
      <c r="D671" s="141"/>
      <c r="E671" s="121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</row>
    <row r="672" spans="1:24" ht="13.5" customHeight="1">
      <c r="A672" s="121"/>
      <c r="B672" s="121"/>
      <c r="C672" s="121"/>
      <c r="D672" s="141"/>
      <c r="E672" s="121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</row>
    <row r="673" spans="1:24" ht="13.5" customHeight="1">
      <c r="A673" s="121"/>
      <c r="B673" s="121"/>
      <c r="C673" s="121"/>
      <c r="D673" s="141"/>
      <c r="E673" s="121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</row>
    <row r="674" spans="1:24" ht="13.5" customHeight="1">
      <c r="A674" s="121"/>
      <c r="B674" s="121"/>
      <c r="C674" s="121"/>
      <c r="D674" s="141"/>
      <c r="E674" s="121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</row>
    <row r="675" spans="1:24" ht="13.5" customHeight="1">
      <c r="A675" s="121"/>
      <c r="B675" s="121"/>
      <c r="C675" s="121"/>
      <c r="D675" s="141"/>
      <c r="E675" s="121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</row>
    <row r="676" spans="1:24" ht="13.5" customHeight="1">
      <c r="A676" s="121"/>
      <c r="B676" s="121"/>
      <c r="C676" s="121"/>
      <c r="D676" s="141"/>
      <c r="E676" s="121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</row>
    <row r="677" spans="1:24" ht="13.5" customHeight="1">
      <c r="A677" s="121"/>
      <c r="B677" s="121"/>
      <c r="C677" s="121"/>
      <c r="D677" s="141"/>
      <c r="E677" s="121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</row>
    <row r="678" spans="1:24" ht="13.5" customHeight="1">
      <c r="A678" s="121"/>
      <c r="B678" s="121"/>
      <c r="C678" s="121"/>
      <c r="D678" s="141"/>
      <c r="E678" s="121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</row>
    <row r="679" spans="1:24" ht="13.5" customHeight="1">
      <c r="A679" s="121"/>
      <c r="B679" s="121"/>
      <c r="C679" s="121"/>
      <c r="D679" s="141"/>
      <c r="E679" s="121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</row>
    <row r="680" spans="1:24" ht="13.5" customHeight="1">
      <c r="A680" s="121"/>
      <c r="B680" s="121"/>
      <c r="C680" s="121"/>
      <c r="D680" s="141"/>
      <c r="E680" s="121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</row>
    <row r="681" spans="1:24" ht="13.5" customHeight="1">
      <c r="A681" s="121"/>
      <c r="B681" s="121"/>
      <c r="C681" s="121"/>
      <c r="D681" s="141"/>
      <c r="E681" s="121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</row>
    <row r="682" spans="1:24" ht="13.5" customHeight="1">
      <c r="A682" s="121"/>
      <c r="B682" s="121"/>
      <c r="C682" s="121"/>
      <c r="D682" s="141"/>
      <c r="E682" s="121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</row>
    <row r="683" spans="1:24" ht="13.5" customHeight="1">
      <c r="A683" s="121"/>
      <c r="B683" s="121"/>
      <c r="C683" s="121"/>
      <c r="D683" s="141"/>
      <c r="E683" s="121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</row>
    <row r="684" spans="1:24" ht="13.5" customHeight="1">
      <c r="A684" s="121"/>
      <c r="B684" s="121"/>
      <c r="C684" s="121"/>
      <c r="D684" s="141"/>
      <c r="E684" s="121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</row>
    <row r="685" spans="1:24" ht="13.5" customHeight="1">
      <c r="A685" s="121"/>
      <c r="B685" s="121"/>
      <c r="C685" s="121"/>
      <c r="D685" s="141"/>
      <c r="E685" s="121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</row>
    <row r="686" spans="1:24" ht="13.5" customHeight="1">
      <c r="A686" s="121"/>
      <c r="B686" s="121"/>
      <c r="C686" s="121"/>
      <c r="D686" s="141"/>
      <c r="E686" s="121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</row>
    <row r="687" spans="1:24" ht="13.5" customHeight="1">
      <c r="A687" s="121"/>
      <c r="B687" s="121"/>
      <c r="C687" s="121"/>
      <c r="D687" s="141"/>
      <c r="E687" s="121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</row>
    <row r="688" spans="1:24" ht="13.5" customHeight="1">
      <c r="A688" s="121"/>
      <c r="B688" s="121"/>
      <c r="C688" s="121"/>
      <c r="D688" s="141"/>
      <c r="E688" s="121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</row>
    <row r="689" spans="1:24" ht="13.5" customHeight="1">
      <c r="A689" s="121"/>
      <c r="B689" s="121"/>
      <c r="C689" s="121"/>
      <c r="D689" s="141"/>
      <c r="E689" s="121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</row>
    <row r="690" spans="1:24" ht="13.5" customHeight="1">
      <c r="A690" s="121"/>
      <c r="B690" s="121"/>
      <c r="C690" s="121"/>
      <c r="D690" s="141"/>
      <c r="E690" s="121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</row>
    <row r="691" spans="1:24" ht="13.5" customHeight="1">
      <c r="A691" s="121"/>
      <c r="B691" s="121"/>
      <c r="C691" s="121"/>
      <c r="D691" s="141"/>
      <c r="E691" s="121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</row>
    <row r="692" spans="1:24" ht="13.5" customHeight="1">
      <c r="A692" s="121"/>
      <c r="B692" s="121"/>
      <c r="C692" s="121"/>
      <c r="D692" s="141"/>
      <c r="E692" s="121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</row>
    <row r="693" spans="1:24" ht="13.5" customHeight="1">
      <c r="A693" s="121"/>
      <c r="B693" s="121"/>
      <c r="C693" s="121"/>
      <c r="D693" s="141"/>
      <c r="E693" s="121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</row>
    <row r="694" spans="1:24" ht="13.5" customHeight="1">
      <c r="A694" s="121"/>
      <c r="B694" s="121"/>
      <c r="C694" s="121"/>
      <c r="D694" s="141"/>
      <c r="E694" s="121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</row>
    <row r="695" spans="1:24" ht="13.5" customHeight="1">
      <c r="A695" s="121"/>
      <c r="B695" s="121"/>
      <c r="C695" s="121"/>
      <c r="D695" s="141"/>
      <c r="E695" s="121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</row>
    <row r="696" spans="1:24" ht="13.5" customHeight="1">
      <c r="A696" s="121"/>
      <c r="B696" s="121"/>
      <c r="C696" s="121"/>
      <c r="D696" s="141"/>
      <c r="E696" s="121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</row>
    <row r="697" spans="1:24" ht="13.5" customHeight="1">
      <c r="A697" s="121"/>
      <c r="B697" s="121"/>
      <c r="C697" s="121"/>
      <c r="D697" s="141"/>
      <c r="E697" s="121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</row>
    <row r="698" spans="1:24" ht="13.5" customHeight="1">
      <c r="A698" s="121"/>
      <c r="B698" s="121"/>
      <c r="C698" s="121"/>
      <c r="D698" s="141"/>
      <c r="E698" s="121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</row>
    <row r="699" spans="1:24" ht="13.5" customHeight="1">
      <c r="A699" s="121"/>
      <c r="B699" s="121"/>
      <c r="C699" s="121"/>
      <c r="D699" s="141"/>
      <c r="E699" s="121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</row>
    <row r="700" spans="1:24" ht="13.5" customHeight="1">
      <c r="A700" s="121"/>
      <c r="B700" s="121"/>
      <c r="C700" s="121"/>
      <c r="D700" s="141"/>
      <c r="E700" s="121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</row>
    <row r="701" spans="1:24" ht="13.5" customHeight="1">
      <c r="A701" s="121"/>
      <c r="B701" s="121"/>
      <c r="C701" s="121"/>
      <c r="D701" s="141"/>
      <c r="E701" s="121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</row>
    <row r="702" spans="1:24" ht="13.5" customHeight="1">
      <c r="A702" s="121"/>
      <c r="B702" s="121"/>
      <c r="C702" s="121"/>
      <c r="D702" s="141"/>
      <c r="E702" s="121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</row>
    <row r="703" spans="1:24" ht="13.5" customHeight="1">
      <c r="A703" s="121"/>
      <c r="B703" s="121"/>
      <c r="C703" s="121"/>
      <c r="D703" s="141"/>
      <c r="E703" s="121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</row>
    <row r="704" spans="1:24" ht="13.5" customHeight="1">
      <c r="A704" s="121"/>
      <c r="B704" s="121"/>
      <c r="C704" s="121"/>
      <c r="D704" s="141"/>
      <c r="E704" s="121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</row>
    <row r="705" spans="1:24" ht="13.5" customHeight="1">
      <c r="A705" s="121"/>
      <c r="B705" s="121"/>
      <c r="C705" s="121"/>
      <c r="D705" s="141"/>
      <c r="E705" s="121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</row>
    <row r="706" spans="1:24" ht="13.5" customHeight="1">
      <c r="A706" s="121"/>
      <c r="B706" s="121"/>
      <c r="C706" s="121"/>
      <c r="D706" s="141"/>
      <c r="E706" s="121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</row>
    <row r="707" spans="1:24" ht="13.5" customHeight="1">
      <c r="A707" s="121"/>
      <c r="B707" s="121"/>
      <c r="C707" s="121"/>
      <c r="D707" s="141"/>
      <c r="E707" s="121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</row>
    <row r="708" spans="1:24" ht="13.5" customHeight="1">
      <c r="A708" s="121"/>
      <c r="B708" s="121"/>
      <c r="C708" s="121"/>
      <c r="D708" s="141"/>
      <c r="E708" s="121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</row>
    <row r="709" spans="1:24" ht="13.5" customHeight="1">
      <c r="A709" s="121"/>
      <c r="B709" s="121"/>
      <c r="C709" s="121"/>
      <c r="D709" s="141"/>
      <c r="E709" s="121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</row>
    <row r="710" spans="1:24" ht="13.5" customHeight="1">
      <c r="A710" s="121"/>
      <c r="B710" s="121"/>
      <c r="C710" s="121"/>
      <c r="D710" s="141"/>
      <c r="E710" s="121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</row>
    <row r="711" spans="1:24" ht="13.5" customHeight="1">
      <c r="A711" s="121"/>
      <c r="B711" s="121"/>
      <c r="C711" s="121"/>
      <c r="D711" s="141"/>
      <c r="E711" s="121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</row>
    <row r="712" spans="1:24" ht="13.5" customHeight="1">
      <c r="A712" s="121"/>
      <c r="B712" s="121"/>
      <c r="C712" s="121"/>
      <c r="D712" s="141"/>
      <c r="E712" s="121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</row>
    <row r="713" spans="1:24" ht="13.5" customHeight="1">
      <c r="A713" s="121"/>
      <c r="B713" s="121"/>
      <c r="C713" s="121"/>
      <c r="D713" s="141"/>
      <c r="E713" s="121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</row>
    <row r="714" spans="1:24" ht="13.5" customHeight="1">
      <c r="A714" s="121"/>
      <c r="B714" s="121"/>
      <c r="C714" s="121"/>
      <c r="D714" s="141"/>
      <c r="E714" s="121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</row>
    <row r="715" spans="1:24" ht="13.5" customHeight="1">
      <c r="A715" s="121"/>
      <c r="B715" s="121"/>
      <c r="C715" s="121"/>
      <c r="D715" s="141"/>
      <c r="E715" s="121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</row>
    <row r="716" spans="1:24" ht="13.5" customHeight="1">
      <c r="A716" s="121"/>
      <c r="B716" s="121"/>
      <c r="C716" s="121"/>
      <c r="D716" s="141"/>
      <c r="E716" s="121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</row>
    <row r="717" spans="1:24" ht="13.5" customHeight="1">
      <c r="A717" s="121"/>
      <c r="B717" s="121"/>
      <c r="C717" s="121"/>
      <c r="D717" s="141"/>
      <c r="E717" s="121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</row>
    <row r="718" spans="1:24" ht="13.5" customHeight="1">
      <c r="A718" s="121"/>
      <c r="B718" s="121"/>
      <c r="C718" s="121"/>
      <c r="D718" s="141"/>
      <c r="E718" s="121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</row>
    <row r="719" spans="1:24" ht="13.5" customHeight="1">
      <c r="A719" s="121"/>
      <c r="B719" s="121"/>
      <c r="C719" s="121"/>
      <c r="D719" s="141"/>
      <c r="E719" s="121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</row>
    <row r="720" spans="1:24" ht="13.5" customHeight="1">
      <c r="A720" s="121"/>
      <c r="B720" s="121"/>
      <c r="C720" s="121"/>
      <c r="D720" s="141"/>
      <c r="E720" s="121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</row>
    <row r="721" spans="1:24" ht="13.5" customHeight="1">
      <c r="A721" s="121"/>
      <c r="B721" s="121"/>
      <c r="C721" s="121"/>
      <c r="D721" s="141"/>
      <c r="E721" s="121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</row>
    <row r="722" spans="1:24" ht="13.5" customHeight="1">
      <c r="A722" s="121"/>
      <c r="B722" s="121"/>
      <c r="C722" s="121"/>
      <c r="D722" s="141"/>
      <c r="E722" s="121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</row>
    <row r="723" spans="1:24" ht="13.5" customHeight="1">
      <c r="A723" s="121"/>
      <c r="B723" s="121"/>
      <c r="C723" s="121"/>
      <c r="D723" s="141"/>
      <c r="E723" s="121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</row>
    <row r="724" spans="1:24" ht="13.5" customHeight="1">
      <c r="A724" s="121"/>
      <c r="B724" s="121"/>
      <c r="C724" s="121"/>
      <c r="D724" s="141"/>
      <c r="E724" s="121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</row>
    <row r="725" spans="1:24" ht="13.5" customHeight="1">
      <c r="A725" s="121"/>
      <c r="B725" s="121"/>
      <c r="C725" s="121"/>
      <c r="D725" s="141"/>
      <c r="E725" s="121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</row>
    <row r="726" spans="1:24" ht="13.5" customHeight="1">
      <c r="A726" s="121"/>
      <c r="B726" s="121"/>
      <c r="C726" s="121"/>
      <c r="D726" s="141"/>
      <c r="E726" s="121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</row>
    <row r="727" spans="1:24" ht="13.5" customHeight="1">
      <c r="A727" s="121"/>
      <c r="B727" s="121"/>
      <c r="C727" s="121"/>
      <c r="D727" s="141"/>
      <c r="E727" s="121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</row>
    <row r="728" spans="1:24" ht="13.5" customHeight="1">
      <c r="A728" s="121"/>
      <c r="B728" s="121"/>
      <c r="C728" s="121"/>
      <c r="D728" s="141"/>
      <c r="E728" s="121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</row>
    <row r="729" spans="1:24" ht="13.5" customHeight="1">
      <c r="A729" s="121"/>
      <c r="B729" s="121"/>
      <c r="C729" s="121"/>
      <c r="D729" s="141"/>
      <c r="E729" s="121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</row>
    <row r="730" spans="1:24" ht="13.5" customHeight="1">
      <c r="A730" s="121"/>
      <c r="B730" s="121"/>
      <c r="C730" s="121"/>
      <c r="D730" s="141"/>
      <c r="E730" s="121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</row>
    <row r="731" spans="1:24" ht="13.5" customHeight="1">
      <c r="A731" s="121"/>
      <c r="B731" s="121"/>
      <c r="C731" s="121"/>
      <c r="D731" s="141"/>
      <c r="E731" s="121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</row>
    <row r="732" spans="1:24" ht="13.5" customHeight="1">
      <c r="A732" s="121"/>
      <c r="B732" s="121"/>
      <c r="C732" s="121"/>
      <c r="D732" s="141"/>
      <c r="E732" s="121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</row>
    <row r="733" spans="1:24" ht="13.5" customHeight="1">
      <c r="A733" s="121"/>
      <c r="B733" s="121"/>
      <c r="C733" s="121"/>
      <c r="D733" s="141"/>
      <c r="E733" s="121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</row>
    <row r="734" spans="1:24" ht="13.5" customHeight="1">
      <c r="A734" s="121"/>
      <c r="B734" s="121"/>
      <c r="C734" s="121"/>
      <c r="D734" s="141"/>
      <c r="E734" s="121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</row>
    <row r="735" spans="1:24" ht="13.5" customHeight="1">
      <c r="A735" s="121"/>
      <c r="B735" s="121"/>
      <c r="C735" s="121"/>
      <c r="D735" s="141"/>
      <c r="E735" s="121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</row>
    <row r="736" spans="1:24" ht="13.5" customHeight="1">
      <c r="A736" s="121"/>
      <c r="B736" s="121"/>
      <c r="C736" s="121"/>
      <c r="D736" s="141"/>
      <c r="E736" s="121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</row>
    <row r="737" spans="1:24" ht="13.5" customHeight="1">
      <c r="A737" s="121"/>
      <c r="B737" s="121"/>
      <c r="C737" s="121"/>
      <c r="D737" s="141"/>
      <c r="E737" s="121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</row>
    <row r="738" spans="1:24" ht="13.5" customHeight="1">
      <c r="A738" s="121"/>
      <c r="B738" s="121"/>
      <c r="C738" s="121"/>
      <c r="D738" s="141"/>
      <c r="E738" s="121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</row>
    <row r="739" spans="1:24" ht="13.5" customHeight="1">
      <c r="A739" s="121"/>
      <c r="B739" s="121"/>
      <c r="C739" s="121"/>
      <c r="D739" s="141"/>
      <c r="E739" s="121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</row>
    <row r="740" spans="1:24" ht="13.5" customHeight="1">
      <c r="A740" s="121"/>
      <c r="B740" s="121"/>
      <c r="C740" s="121"/>
      <c r="D740" s="141"/>
      <c r="E740" s="121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</row>
    <row r="741" spans="1:24" ht="13.5" customHeight="1">
      <c r="A741" s="121"/>
      <c r="B741" s="121"/>
      <c r="C741" s="121"/>
      <c r="D741" s="141"/>
      <c r="E741" s="121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</row>
    <row r="742" spans="1:24" ht="13.5" customHeight="1">
      <c r="A742" s="121"/>
      <c r="B742" s="121"/>
      <c r="C742" s="121"/>
      <c r="D742" s="141"/>
      <c r="E742" s="121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</row>
    <row r="743" spans="1:24" ht="13.5" customHeight="1">
      <c r="A743" s="121"/>
      <c r="B743" s="121"/>
      <c r="C743" s="121"/>
      <c r="D743" s="141"/>
      <c r="E743" s="121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</row>
    <row r="744" spans="1:24" ht="13.5" customHeight="1">
      <c r="A744" s="121"/>
      <c r="B744" s="121"/>
      <c r="C744" s="121"/>
      <c r="D744" s="141"/>
      <c r="E744" s="121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</row>
    <row r="745" spans="1:24" ht="13.5" customHeight="1">
      <c r="A745" s="121"/>
      <c r="B745" s="121"/>
      <c r="C745" s="121"/>
      <c r="D745" s="141"/>
      <c r="E745" s="121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</row>
    <row r="746" spans="1:24" ht="13.5" customHeight="1">
      <c r="A746" s="121"/>
      <c r="B746" s="121"/>
      <c r="C746" s="121"/>
      <c r="D746" s="141"/>
      <c r="E746" s="121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</row>
    <row r="747" spans="1:24" ht="13.5" customHeight="1">
      <c r="A747" s="121"/>
      <c r="B747" s="121"/>
      <c r="C747" s="121"/>
      <c r="D747" s="141"/>
      <c r="E747" s="121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</row>
    <row r="748" spans="1:24" ht="13.5" customHeight="1">
      <c r="A748" s="121"/>
      <c r="B748" s="121"/>
      <c r="C748" s="121"/>
      <c r="D748" s="141"/>
      <c r="E748" s="121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</row>
    <row r="749" spans="1:24" ht="13.5" customHeight="1">
      <c r="A749" s="121"/>
      <c r="B749" s="121"/>
      <c r="C749" s="121"/>
      <c r="D749" s="141"/>
      <c r="E749" s="121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</row>
    <row r="750" spans="1:24" ht="13.5" customHeight="1">
      <c r="A750" s="121"/>
      <c r="B750" s="121"/>
      <c r="C750" s="121"/>
      <c r="D750" s="141"/>
      <c r="E750" s="121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</row>
    <row r="751" spans="1:24" ht="13.5" customHeight="1">
      <c r="A751" s="121"/>
      <c r="B751" s="121"/>
      <c r="C751" s="121"/>
      <c r="D751" s="141"/>
      <c r="E751" s="121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</row>
    <row r="752" spans="1:24" ht="13.5" customHeight="1">
      <c r="A752" s="121"/>
      <c r="B752" s="121"/>
      <c r="C752" s="121"/>
      <c r="D752" s="141"/>
      <c r="E752" s="121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</row>
    <row r="753" spans="1:24" ht="13.5" customHeight="1">
      <c r="A753" s="121"/>
      <c r="B753" s="121"/>
      <c r="C753" s="121"/>
      <c r="D753" s="141"/>
      <c r="E753" s="121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</row>
    <row r="754" spans="1:24" ht="13.5" customHeight="1">
      <c r="A754" s="121"/>
      <c r="B754" s="121"/>
      <c r="C754" s="121"/>
      <c r="D754" s="141"/>
      <c r="E754" s="121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</row>
    <row r="755" spans="1:24" ht="13.5" customHeight="1">
      <c r="A755" s="121"/>
      <c r="B755" s="121"/>
      <c r="C755" s="121"/>
      <c r="D755" s="141"/>
      <c r="E755" s="121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</row>
    <row r="756" spans="1:24" ht="13.5" customHeight="1">
      <c r="A756" s="121"/>
      <c r="B756" s="121"/>
      <c r="C756" s="121"/>
      <c r="D756" s="141"/>
      <c r="E756" s="121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</row>
    <row r="757" spans="1:24" ht="13.5" customHeight="1">
      <c r="A757" s="121"/>
      <c r="B757" s="121"/>
      <c r="C757" s="121"/>
      <c r="D757" s="141"/>
      <c r="E757" s="121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</row>
    <row r="758" spans="1:24" ht="13.5" customHeight="1">
      <c r="A758" s="121"/>
      <c r="B758" s="121"/>
      <c r="C758" s="121"/>
      <c r="D758" s="141"/>
      <c r="E758" s="121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</row>
    <row r="759" spans="1:24" ht="13.5" customHeight="1">
      <c r="A759" s="121"/>
      <c r="B759" s="121"/>
      <c r="C759" s="121"/>
      <c r="D759" s="141"/>
      <c r="E759" s="121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</row>
    <row r="760" spans="1:24" ht="13.5" customHeight="1">
      <c r="A760" s="121"/>
      <c r="B760" s="121"/>
      <c r="C760" s="121"/>
      <c r="D760" s="141"/>
      <c r="E760" s="121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</row>
    <row r="761" spans="1:24" ht="13.5" customHeight="1">
      <c r="A761" s="121"/>
      <c r="B761" s="121"/>
      <c r="C761" s="121"/>
      <c r="D761" s="141"/>
      <c r="E761" s="121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</row>
    <row r="762" spans="1:24" ht="13.5" customHeight="1">
      <c r="A762" s="121"/>
      <c r="B762" s="121"/>
      <c r="C762" s="121"/>
      <c r="D762" s="141"/>
      <c r="E762" s="121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</row>
    <row r="763" spans="1:24" ht="13.5" customHeight="1">
      <c r="A763" s="121"/>
      <c r="B763" s="121"/>
      <c r="C763" s="121"/>
      <c r="D763" s="141"/>
      <c r="E763" s="121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</row>
    <row r="764" spans="1:24" ht="13.5" customHeight="1">
      <c r="A764" s="121"/>
      <c r="B764" s="121"/>
      <c r="C764" s="121"/>
      <c r="D764" s="141"/>
      <c r="E764" s="121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</row>
    <row r="765" spans="1:24" ht="13.5" customHeight="1">
      <c r="A765" s="121"/>
      <c r="B765" s="121"/>
      <c r="C765" s="121"/>
      <c r="D765" s="141"/>
      <c r="E765" s="121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</row>
    <row r="766" spans="1:24" ht="13.5" customHeight="1">
      <c r="A766" s="121"/>
      <c r="B766" s="121"/>
      <c r="C766" s="121"/>
      <c r="D766" s="141"/>
      <c r="E766" s="121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</row>
    <row r="767" spans="1:24" ht="13.5" customHeight="1">
      <c r="A767" s="121"/>
      <c r="B767" s="121"/>
      <c r="C767" s="121"/>
      <c r="D767" s="141"/>
      <c r="E767" s="121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</row>
    <row r="768" spans="1:24" ht="13.5" customHeight="1">
      <c r="A768" s="121"/>
      <c r="B768" s="121"/>
      <c r="C768" s="121"/>
      <c r="D768" s="141"/>
      <c r="E768" s="121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</row>
    <row r="769" spans="1:24" ht="13.5" customHeight="1">
      <c r="A769" s="121"/>
      <c r="B769" s="121"/>
      <c r="C769" s="121"/>
      <c r="D769" s="141"/>
      <c r="E769" s="121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</row>
    <row r="770" spans="1:24" ht="13.5" customHeight="1">
      <c r="A770" s="121"/>
      <c r="B770" s="121"/>
      <c r="C770" s="121"/>
      <c r="D770" s="141"/>
      <c r="E770" s="121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</row>
    <row r="771" spans="1:24" ht="13.5" customHeight="1">
      <c r="A771" s="121"/>
      <c r="B771" s="121"/>
      <c r="C771" s="121"/>
      <c r="D771" s="141"/>
      <c r="E771" s="121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</row>
    <row r="772" spans="1:24" ht="13.5" customHeight="1">
      <c r="A772" s="121"/>
      <c r="B772" s="121"/>
      <c r="C772" s="121"/>
      <c r="D772" s="141"/>
      <c r="E772" s="121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</row>
    <row r="773" spans="1:24" ht="13.5" customHeight="1">
      <c r="A773" s="121"/>
      <c r="B773" s="121"/>
      <c r="C773" s="121"/>
      <c r="D773" s="141"/>
      <c r="E773" s="121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</row>
    <row r="774" spans="1:24" ht="13.5" customHeight="1">
      <c r="A774" s="121"/>
      <c r="B774" s="121"/>
      <c r="C774" s="121"/>
      <c r="D774" s="141"/>
      <c r="E774" s="121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</row>
    <row r="775" spans="1:24" ht="13.5" customHeight="1">
      <c r="A775" s="121"/>
      <c r="B775" s="121"/>
      <c r="C775" s="121"/>
      <c r="D775" s="141"/>
      <c r="E775" s="121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</row>
    <row r="776" spans="1:24" ht="13.5" customHeight="1">
      <c r="A776" s="121"/>
      <c r="B776" s="121"/>
      <c r="C776" s="121"/>
      <c r="D776" s="141"/>
      <c r="E776" s="121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</row>
    <row r="777" spans="1:24" ht="13.5" customHeight="1">
      <c r="A777" s="121"/>
      <c r="B777" s="121"/>
      <c r="C777" s="121"/>
      <c r="D777" s="141"/>
      <c r="E777" s="121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</row>
    <row r="778" spans="1:24" ht="13.5" customHeight="1">
      <c r="A778" s="121"/>
      <c r="B778" s="121"/>
      <c r="C778" s="121"/>
      <c r="D778" s="141"/>
      <c r="E778" s="121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</row>
    <row r="779" spans="1:24" ht="13.5" customHeight="1">
      <c r="A779" s="121"/>
      <c r="B779" s="121"/>
      <c r="C779" s="121"/>
      <c r="D779" s="141"/>
      <c r="E779" s="121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</row>
    <row r="780" spans="1:24" ht="13.5" customHeight="1">
      <c r="A780" s="121"/>
      <c r="B780" s="121"/>
      <c r="C780" s="121"/>
      <c r="D780" s="141"/>
      <c r="E780" s="121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</row>
    <row r="781" spans="1:24" ht="13.5" customHeight="1">
      <c r="A781" s="121"/>
      <c r="B781" s="121"/>
      <c r="C781" s="121"/>
      <c r="D781" s="141"/>
      <c r="E781" s="121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</row>
    <row r="782" spans="1:24" ht="13.5" customHeight="1">
      <c r="A782" s="121"/>
      <c r="B782" s="121"/>
      <c r="C782" s="121"/>
      <c r="D782" s="141"/>
      <c r="E782" s="121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</row>
    <row r="783" spans="1:24" ht="13.5" customHeight="1">
      <c r="A783" s="121"/>
      <c r="B783" s="121"/>
      <c r="C783" s="121"/>
      <c r="D783" s="141"/>
      <c r="E783" s="121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</row>
    <row r="784" spans="1:2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</sheetData>
  <autoFilter ref="A1:D587" xr:uid="{00000000-0009-0000-0000-000002000000}"/>
  <conditionalFormatting sqref="D28">
    <cfRule type="cellIs" dxfId="3" priority="1" operator="equal">
      <formula>"да"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62"/>
  <sheetViews>
    <sheetView showGridLines="0" workbookViewId="0"/>
  </sheetViews>
  <sheetFormatPr defaultColWidth="14.42578125" defaultRowHeight="15" customHeight="1"/>
  <cols>
    <col min="1" max="1" width="24.5703125" customWidth="1"/>
    <col min="2" max="2" width="23.28515625" customWidth="1"/>
    <col min="3" max="3" width="12.85546875" customWidth="1"/>
    <col min="4" max="4" width="13.28515625" customWidth="1"/>
    <col min="5" max="5" width="21.28515625" customWidth="1"/>
    <col min="6" max="6" width="5.42578125" customWidth="1"/>
    <col min="7" max="7" width="27.85546875" customWidth="1"/>
    <col min="8" max="8" width="5.140625" customWidth="1"/>
    <col min="9" max="9" width="3.85546875" customWidth="1"/>
    <col min="10" max="10" width="4.140625" customWidth="1"/>
    <col min="11" max="11" width="7.140625" customWidth="1"/>
    <col min="12" max="12" width="4.85546875" customWidth="1"/>
    <col min="13" max="13" width="7.42578125" customWidth="1"/>
    <col min="14" max="14" width="2.42578125" customWidth="1"/>
    <col min="15" max="15" width="4" customWidth="1"/>
    <col min="16" max="16" width="6" customWidth="1"/>
    <col min="17" max="17" width="3.28515625" customWidth="1"/>
    <col min="18" max="18" width="21.7109375" customWidth="1"/>
  </cols>
  <sheetData>
    <row r="1" spans="1:25" ht="13.5" customHeight="1">
      <c r="A1" s="142" t="s">
        <v>686</v>
      </c>
      <c r="B1" s="143" t="s">
        <v>687</v>
      </c>
      <c r="C1" s="144" t="s">
        <v>688</v>
      </c>
      <c r="D1" s="144" t="s">
        <v>689</v>
      </c>
      <c r="E1" s="144" t="s">
        <v>690</v>
      </c>
      <c r="F1" s="145"/>
      <c r="G1" s="146" t="s">
        <v>691</v>
      </c>
      <c r="H1" s="145"/>
      <c r="I1" s="146" t="s">
        <v>35</v>
      </c>
      <c r="J1" s="145"/>
      <c r="K1" s="147" t="s">
        <v>692</v>
      </c>
      <c r="L1" s="148" t="s">
        <v>693</v>
      </c>
      <c r="M1" s="149" t="s">
        <v>694</v>
      </c>
      <c r="N1" s="145"/>
      <c r="O1" s="150" t="s">
        <v>695</v>
      </c>
      <c r="P1" s="150" t="s">
        <v>696</v>
      </c>
      <c r="Q1" s="145"/>
      <c r="R1" s="151" t="s">
        <v>687</v>
      </c>
      <c r="S1" s="151" t="s">
        <v>1</v>
      </c>
      <c r="T1" s="145"/>
      <c r="U1" s="145"/>
      <c r="V1" s="145"/>
      <c r="W1" s="145"/>
      <c r="X1" s="145"/>
      <c r="Y1" s="145"/>
    </row>
    <row r="2" spans="1:25" ht="13.5" customHeight="1">
      <c r="A2" s="152" t="s">
        <v>697</v>
      </c>
      <c r="B2" s="153" t="s">
        <v>698</v>
      </c>
      <c r="C2" s="154" t="s">
        <v>444</v>
      </c>
      <c r="D2" s="155" t="s">
        <v>82</v>
      </c>
      <c r="E2" s="156" t="s">
        <v>699</v>
      </c>
      <c r="F2" s="145"/>
      <c r="G2" s="146"/>
      <c r="H2" s="145"/>
      <c r="I2" s="146"/>
      <c r="J2" s="145"/>
      <c r="K2" s="157"/>
      <c r="L2" s="158"/>
      <c r="M2" s="159"/>
      <c r="N2" s="145"/>
      <c r="O2" s="145"/>
      <c r="P2" s="160"/>
      <c r="Q2" s="145"/>
      <c r="R2" s="154"/>
      <c r="S2" s="154"/>
      <c r="T2" s="145"/>
      <c r="U2" s="145"/>
      <c r="V2" s="145"/>
      <c r="W2" s="145"/>
      <c r="X2" s="145"/>
      <c r="Y2" s="145"/>
    </row>
    <row r="3" spans="1:25" ht="13.5" customHeight="1">
      <c r="A3" s="154" t="s">
        <v>700</v>
      </c>
      <c r="B3" s="153" t="s">
        <v>701</v>
      </c>
      <c r="C3" s="154" t="s">
        <v>624</v>
      </c>
      <c r="D3" s="155" t="s">
        <v>82</v>
      </c>
      <c r="E3" s="156" t="s">
        <v>699</v>
      </c>
      <c r="F3" s="145"/>
      <c r="G3" s="146" t="s">
        <v>702</v>
      </c>
      <c r="H3" s="145"/>
      <c r="I3" s="146" t="s">
        <v>703</v>
      </c>
      <c r="J3" s="145"/>
      <c r="K3" s="161">
        <v>1</v>
      </c>
      <c r="L3" s="146" t="s">
        <v>704</v>
      </c>
      <c r="M3" s="162" t="s">
        <v>705</v>
      </c>
      <c r="N3" s="145"/>
      <c r="O3" s="146">
        <v>1</v>
      </c>
      <c r="P3" s="163">
        <v>0</v>
      </c>
      <c r="Q3" s="145"/>
      <c r="R3" s="154" t="s">
        <v>698</v>
      </c>
      <c r="S3" s="154" t="s">
        <v>82</v>
      </c>
      <c r="T3" s="145"/>
      <c r="U3" s="145"/>
      <c r="V3" s="145"/>
      <c r="W3" s="145"/>
      <c r="X3" s="145"/>
      <c r="Y3" s="145"/>
    </row>
    <row r="4" spans="1:25" ht="13.5" customHeight="1">
      <c r="A4" s="154" t="s">
        <v>65</v>
      </c>
      <c r="B4" s="153" t="s">
        <v>706</v>
      </c>
      <c r="C4" s="154" t="s">
        <v>276</v>
      </c>
      <c r="D4" s="155" t="s">
        <v>150</v>
      </c>
      <c r="E4" s="156" t="s">
        <v>699</v>
      </c>
      <c r="F4" s="145"/>
      <c r="G4" s="146" t="s">
        <v>707</v>
      </c>
      <c r="H4" s="145"/>
      <c r="I4" s="146" t="s">
        <v>708</v>
      </c>
      <c r="J4" s="145"/>
      <c r="K4" s="161">
        <v>2</v>
      </c>
      <c r="L4" s="146" t="s">
        <v>709</v>
      </c>
      <c r="M4" s="162" t="s">
        <v>710</v>
      </c>
      <c r="N4" s="145"/>
      <c r="O4" s="146">
        <v>2</v>
      </c>
      <c r="P4" s="163">
        <v>4.1666666666666664E-2</v>
      </c>
      <c r="Q4" s="145"/>
      <c r="R4" s="154"/>
      <c r="S4" s="154"/>
      <c r="T4" s="145"/>
      <c r="U4" s="145"/>
      <c r="V4" s="145"/>
      <c r="W4" s="145"/>
      <c r="X4" s="145"/>
      <c r="Y4" s="145"/>
    </row>
    <row r="5" spans="1:25" ht="13.5" customHeight="1">
      <c r="A5" s="154" t="s">
        <v>57</v>
      </c>
      <c r="B5" s="153" t="s">
        <v>711</v>
      </c>
      <c r="C5" s="156" t="s">
        <v>453</v>
      </c>
      <c r="D5" s="155" t="s">
        <v>150</v>
      </c>
      <c r="E5" s="156" t="s">
        <v>699</v>
      </c>
      <c r="F5" s="145"/>
      <c r="G5" s="146" t="s">
        <v>712</v>
      </c>
      <c r="H5" s="145"/>
      <c r="I5" s="145"/>
      <c r="J5" s="145"/>
      <c r="K5" s="161">
        <v>3</v>
      </c>
      <c r="L5" s="146" t="s">
        <v>713</v>
      </c>
      <c r="M5" s="162" t="s">
        <v>714</v>
      </c>
      <c r="N5" s="145"/>
      <c r="O5" s="146">
        <v>3</v>
      </c>
      <c r="P5" s="163">
        <v>8.3333333333333329E-2</v>
      </c>
      <c r="Q5" s="145"/>
      <c r="R5" s="154" t="s">
        <v>715</v>
      </c>
      <c r="S5" s="154" t="s">
        <v>716</v>
      </c>
      <c r="T5" s="145"/>
      <c r="U5" s="145"/>
      <c r="V5" s="145"/>
      <c r="W5" s="145"/>
      <c r="X5" s="145"/>
      <c r="Y5" s="145"/>
    </row>
    <row r="6" spans="1:25" ht="13.5" customHeight="1">
      <c r="A6" s="154" t="s">
        <v>717</v>
      </c>
      <c r="B6" s="153" t="s">
        <v>706</v>
      </c>
      <c r="C6" s="154" t="s">
        <v>278</v>
      </c>
      <c r="D6" s="155" t="s">
        <v>150</v>
      </c>
      <c r="E6" s="156" t="s">
        <v>699</v>
      </c>
      <c r="F6" s="145"/>
      <c r="G6" s="146" t="s">
        <v>718</v>
      </c>
      <c r="H6" s="145"/>
      <c r="I6" s="145"/>
      <c r="J6" s="145"/>
      <c r="K6" s="161">
        <v>5</v>
      </c>
      <c r="L6" s="146" t="s">
        <v>719</v>
      </c>
      <c r="M6" s="162" t="s">
        <v>720</v>
      </c>
      <c r="N6" s="145"/>
      <c r="O6" s="146">
        <v>4</v>
      </c>
      <c r="P6" s="163">
        <v>0.16666666666666666</v>
      </c>
      <c r="Q6" s="145"/>
      <c r="R6" s="154" t="s">
        <v>706</v>
      </c>
      <c r="S6" s="154" t="s">
        <v>150</v>
      </c>
      <c r="T6" s="145"/>
      <c r="U6" s="145"/>
      <c r="V6" s="145"/>
      <c r="W6" s="145"/>
      <c r="X6" s="145"/>
      <c r="Y6" s="145"/>
    </row>
    <row r="7" spans="1:25" ht="13.5" customHeight="1">
      <c r="A7" s="153" t="s">
        <v>34</v>
      </c>
      <c r="B7" s="153" t="s">
        <v>698</v>
      </c>
      <c r="C7" s="154" t="s">
        <v>263</v>
      </c>
      <c r="D7" s="155" t="s">
        <v>82</v>
      </c>
      <c r="E7" s="156" t="s">
        <v>699</v>
      </c>
      <c r="F7" s="145"/>
      <c r="G7" s="164" t="s">
        <v>721</v>
      </c>
      <c r="H7" s="145"/>
      <c r="I7" s="145"/>
      <c r="J7" s="145"/>
      <c r="K7" s="161">
        <v>6</v>
      </c>
      <c r="L7" s="146" t="s">
        <v>722</v>
      </c>
      <c r="M7" s="162" t="s">
        <v>723</v>
      </c>
      <c r="N7" s="145"/>
      <c r="O7" s="146">
        <v>5</v>
      </c>
      <c r="P7" s="163">
        <v>0.20833333333333334</v>
      </c>
      <c r="Q7" s="145"/>
      <c r="R7" s="154"/>
      <c r="S7" s="154"/>
      <c r="T7" s="145"/>
      <c r="U7" s="145"/>
      <c r="V7" s="145"/>
      <c r="W7" s="145"/>
      <c r="X7" s="145"/>
      <c r="Y7" s="145"/>
    </row>
    <row r="8" spans="1:25" ht="13.5" customHeight="1">
      <c r="A8" s="165" t="s">
        <v>724</v>
      </c>
      <c r="B8" s="153" t="s">
        <v>715</v>
      </c>
      <c r="C8" s="154" t="s">
        <v>514</v>
      </c>
      <c r="D8" s="155" t="s">
        <v>716</v>
      </c>
      <c r="E8" s="156" t="s">
        <v>699</v>
      </c>
      <c r="F8" s="145"/>
      <c r="G8" s="166" t="s">
        <v>699</v>
      </c>
      <c r="H8" s="145"/>
      <c r="I8" s="145"/>
      <c r="J8" s="145"/>
      <c r="K8" s="161">
        <v>7</v>
      </c>
      <c r="L8" s="146" t="s">
        <v>725</v>
      </c>
      <c r="M8" s="162" t="s">
        <v>726</v>
      </c>
      <c r="N8" s="145"/>
      <c r="O8" s="146">
        <v>6</v>
      </c>
      <c r="P8" s="163">
        <v>0.25</v>
      </c>
      <c r="Q8" s="145"/>
      <c r="R8" s="154"/>
      <c r="S8" s="154"/>
      <c r="T8" s="145"/>
      <c r="U8" s="145"/>
      <c r="V8" s="145"/>
      <c r="W8" s="145"/>
      <c r="X8" s="145"/>
      <c r="Y8" s="145"/>
    </row>
    <row r="9" spans="1:25" ht="13.5" customHeight="1">
      <c r="A9" s="167" t="s">
        <v>727</v>
      </c>
      <c r="B9" s="153" t="s">
        <v>715</v>
      </c>
      <c r="C9" s="154" t="s">
        <v>149</v>
      </c>
      <c r="D9" s="155" t="s">
        <v>716</v>
      </c>
      <c r="E9" s="156" t="s">
        <v>699</v>
      </c>
      <c r="F9" s="145"/>
      <c r="G9" s="145" t="s">
        <v>728</v>
      </c>
      <c r="H9" s="145"/>
      <c r="I9" s="145"/>
      <c r="J9" s="145"/>
      <c r="K9" s="161">
        <v>8</v>
      </c>
      <c r="L9" s="146" t="s">
        <v>729</v>
      </c>
      <c r="M9" s="162" t="s">
        <v>730</v>
      </c>
      <c r="N9" s="145"/>
      <c r="O9" s="146">
        <v>7</v>
      </c>
      <c r="P9" s="163">
        <v>0.29166666666666669</v>
      </c>
      <c r="Q9" s="145"/>
      <c r="R9" s="145"/>
      <c r="S9" s="145"/>
      <c r="T9" s="145"/>
      <c r="U9" s="145"/>
      <c r="V9" s="145"/>
      <c r="W9" s="145"/>
      <c r="X9" s="145"/>
      <c r="Y9" s="145"/>
    </row>
    <row r="10" spans="1:25" ht="13.5" customHeight="1">
      <c r="A10" s="154" t="s">
        <v>48</v>
      </c>
      <c r="B10" s="153" t="s">
        <v>706</v>
      </c>
      <c r="C10" s="156" t="s">
        <v>262</v>
      </c>
      <c r="D10" s="155" t="s">
        <v>150</v>
      </c>
      <c r="E10" s="156" t="s">
        <v>699</v>
      </c>
      <c r="F10" s="145"/>
      <c r="G10" s="145"/>
      <c r="H10" s="145"/>
      <c r="I10" s="145"/>
      <c r="J10" s="145"/>
      <c r="K10" s="161">
        <v>9</v>
      </c>
      <c r="L10" s="146" t="s">
        <v>731</v>
      </c>
      <c r="M10" s="168" t="s">
        <v>732</v>
      </c>
      <c r="N10" s="145"/>
      <c r="O10" s="146">
        <v>8</v>
      </c>
      <c r="P10" s="163">
        <v>0.33333333333333331</v>
      </c>
      <c r="Q10" s="145"/>
      <c r="R10" s="145"/>
      <c r="S10" s="145"/>
      <c r="T10" s="145"/>
      <c r="U10" s="145"/>
      <c r="V10" s="145"/>
      <c r="W10" s="145"/>
      <c r="X10" s="145"/>
      <c r="Y10" s="145"/>
    </row>
    <row r="11" spans="1:25" ht="13.5" customHeight="1">
      <c r="A11" s="154" t="s">
        <v>51</v>
      </c>
      <c r="B11" s="153" t="s">
        <v>698</v>
      </c>
      <c r="C11" s="154" t="s">
        <v>301</v>
      </c>
      <c r="D11" s="155" t="s">
        <v>82</v>
      </c>
      <c r="E11" s="156" t="s">
        <v>699</v>
      </c>
      <c r="F11" s="145"/>
      <c r="G11" s="145"/>
      <c r="H11" s="145"/>
      <c r="I11" s="145"/>
      <c r="J11" s="145"/>
      <c r="K11" s="161">
        <v>10</v>
      </c>
      <c r="L11" s="146" t="s">
        <v>733</v>
      </c>
      <c r="M11" s="162" t="s">
        <v>734</v>
      </c>
      <c r="N11" s="145"/>
      <c r="O11" s="146">
        <v>9</v>
      </c>
      <c r="P11" s="163">
        <v>0.375</v>
      </c>
      <c r="Q11" s="145"/>
      <c r="R11" s="145"/>
      <c r="S11" s="145"/>
      <c r="T11" s="145"/>
      <c r="U11" s="145"/>
      <c r="V11" s="145"/>
      <c r="W11" s="145"/>
      <c r="X11" s="145"/>
      <c r="Y11" s="145"/>
    </row>
    <row r="12" spans="1:25" ht="13.5" customHeight="1">
      <c r="A12" s="154" t="s">
        <v>46</v>
      </c>
      <c r="B12" s="153" t="s">
        <v>698</v>
      </c>
      <c r="C12" s="154" t="s">
        <v>102</v>
      </c>
      <c r="D12" s="155" t="s">
        <v>82</v>
      </c>
      <c r="E12" s="156" t="s">
        <v>699</v>
      </c>
      <c r="F12" s="145"/>
      <c r="G12" s="145"/>
      <c r="H12" s="145"/>
      <c r="I12" s="145"/>
      <c r="J12" s="145"/>
      <c r="K12" s="161">
        <v>11</v>
      </c>
      <c r="L12" s="146" t="s">
        <v>735</v>
      </c>
      <c r="M12" s="162" t="s">
        <v>736</v>
      </c>
      <c r="N12" s="145"/>
      <c r="O12" s="146">
        <v>10</v>
      </c>
      <c r="P12" s="163">
        <v>0.41666666666666669</v>
      </c>
      <c r="Q12" s="145"/>
      <c r="R12" s="145"/>
      <c r="S12" s="145"/>
      <c r="T12" s="145"/>
      <c r="U12" s="145"/>
      <c r="V12" s="145"/>
      <c r="W12" s="145"/>
      <c r="X12" s="145"/>
      <c r="Y12" s="145"/>
    </row>
    <row r="13" spans="1:25" ht="13.5" customHeight="1">
      <c r="A13" s="154" t="s">
        <v>737</v>
      </c>
      <c r="B13" s="153" t="s">
        <v>738</v>
      </c>
      <c r="C13" s="154" t="s">
        <v>154</v>
      </c>
      <c r="D13" s="155" t="s">
        <v>739</v>
      </c>
      <c r="E13" s="156" t="s">
        <v>699</v>
      </c>
      <c r="F13" s="145"/>
      <c r="G13" s="145"/>
      <c r="H13" s="145"/>
      <c r="I13" s="145"/>
      <c r="J13" s="145"/>
      <c r="K13" s="161">
        <v>12</v>
      </c>
      <c r="L13" s="146" t="s">
        <v>740</v>
      </c>
      <c r="M13" s="162" t="s">
        <v>741</v>
      </c>
      <c r="N13" s="145"/>
      <c r="O13" s="146">
        <v>11</v>
      </c>
      <c r="P13" s="163">
        <v>0.45833333333333331</v>
      </c>
      <c r="Q13" s="145"/>
      <c r="R13" s="145"/>
      <c r="S13" s="145"/>
      <c r="T13" s="145"/>
      <c r="U13" s="145"/>
      <c r="V13" s="145"/>
      <c r="W13" s="145"/>
      <c r="X13" s="145"/>
      <c r="Y13" s="145"/>
    </row>
    <row r="14" spans="1:25" ht="13.5" customHeight="1">
      <c r="A14" s="154" t="s">
        <v>742</v>
      </c>
      <c r="B14" s="153" t="s">
        <v>701</v>
      </c>
      <c r="C14" s="154" t="s">
        <v>743</v>
      </c>
      <c r="D14" s="155" t="s">
        <v>82</v>
      </c>
      <c r="E14" s="156" t="s">
        <v>699</v>
      </c>
      <c r="F14" s="145"/>
      <c r="G14" s="145"/>
      <c r="H14" s="145"/>
      <c r="I14" s="145"/>
      <c r="J14" s="145"/>
      <c r="K14" s="145"/>
      <c r="L14" s="145"/>
      <c r="M14" s="145"/>
      <c r="N14" s="145"/>
      <c r="O14" s="146">
        <v>12</v>
      </c>
      <c r="P14" s="163">
        <v>0.5</v>
      </c>
      <c r="Q14" s="145"/>
      <c r="R14" s="145"/>
      <c r="S14" s="145"/>
      <c r="T14" s="145"/>
      <c r="U14" s="145"/>
      <c r="V14" s="145"/>
      <c r="W14" s="145"/>
      <c r="X14" s="145"/>
      <c r="Y14" s="145"/>
    </row>
    <row r="15" spans="1:25" ht="13.5" customHeight="1">
      <c r="A15" s="154" t="s">
        <v>744</v>
      </c>
      <c r="B15" s="153" t="s">
        <v>738</v>
      </c>
      <c r="C15" s="154" t="s">
        <v>387</v>
      </c>
      <c r="D15" s="155" t="s">
        <v>739</v>
      </c>
      <c r="E15" s="156" t="s">
        <v>699</v>
      </c>
      <c r="F15" s="145"/>
      <c r="G15" s="145"/>
      <c r="H15" s="145"/>
      <c r="I15" s="145"/>
      <c r="J15" s="145"/>
      <c r="K15" s="145"/>
      <c r="L15" s="145"/>
      <c r="M15" s="145"/>
      <c r="N15" s="145"/>
      <c r="O15" s="146">
        <v>13</v>
      </c>
      <c r="P15" s="163">
        <v>0.54166666666666663</v>
      </c>
      <c r="Q15" s="145"/>
      <c r="R15" s="145"/>
      <c r="S15" s="145"/>
      <c r="T15" s="145"/>
      <c r="U15" s="145"/>
      <c r="V15" s="145"/>
      <c r="W15" s="145"/>
      <c r="X15" s="145"/>
      <c r="Y15" s="145"/>
    </row>
    <row r="16" spans="1:25" ht="13.5" customHeight="1">
      <c r="A16" s="154" t="s">
        <v>70</v>
      </c>
      <c r="B16" s="153" t="s">
        <v>698</v>
      </c>
      <c r="C16" s="154" t="s">
        <v>419</v>
      </c>
      <c r="D16" s="155" t="s">
        <v>82</v>
      </c>
      <c r="E16" s="156" t="s">
        <v>699</v>
      </c>
      <c r="F16" s="145"/>
      <c r="G16" s="145" t="s">
        <v>745</v>
      </c>
      <c r="H16" s="145"/>
      <c r="I16" s="145"/>
      <c r="J16" s="145"/>
      <c r="K16" s="145"/>
      <c r="L16" s="145"/>
      <c r="M16" s="145"/>
      <c r="N16" s="145"/>
      <c r="O16" s="146">
        <v>14</v>
      </c>
      <c r="P16" s="163">
        <v>0.58333333333333337</v>
      </c>
      <c r="Q16" s="145"/>
      <c r="S16" s="145"/>
      <c r="T16" s="145"/>
      <c r="U16" s="145"/>
      <c r="V16" s="145"/>
      <c r="W16" s="145"/>
      <c r="X16" s="145"/>
      <c r="Y16" s="145"/>
    </row>
    <row r="17" spans="1:25" ht="13.5" customHeight="1">
      <c r="A17" s="154" t="s">
        <v>746</v>
      </c>
      <c r="B17" s="153" t="s">
        <v>698</v>
      </c>
      <c r="C17" s="156" t="s">
        <v>444</v>
      </c>
      <c r="D17" s="155" t="s">
        <v>82</v>
      </c>
      <c r="E17" s="156" t="s">
        <v>728</v>
      </c>
      <c r="F17" s="145"/>
      <c r="G17" s="145"/>
      <c r="H17" s="145"/>
      <c r="I17" s="145"/>
      <c r="J17" s="145"/>
      <c r="K17" s="169"/>
      <c r="L17" s="169"/>
      <c r="M17" s="169"/>
      <c r="N17" s="145"/>
      <c r="O17" s="146">
        <v>15</v>
      </c>
      <c r="P17" s="163">
        <v>0.625</v>
      </c>
      <c r="Q17" s="145"/>
      <c r="S17" s="145"/>
      <c r="T17" s="145"/>
      <c r="U17" s="145"/>
      <c r="V17" s="145"/>
      <c r="W17" s="145"/>
      <c r="X17" s="145"/>
      <c r="Y17" s="145"/>
    </row>
    <row r="18" spans="1:25" ht="13.5" customHeight="1">
      <c r="A18" s="154" t="s">
        <v>747</v>
      </c>
      <c r="B18" s="153" t="s">
        <v>715</v>
      </c>
      <c r="C18" s="154" t="s">
        <v>308</v>
      </c>
      <c r="D18" s="155" t="s">
        <v>716</v>
      </c>
      <c r="E18" s="156" t="s">
        <v>699</v>
      </c>
      <c r="F18" s="145"/>
      <c r="G18" s="145"/>
      <c r="H18" s="145"/>
      <c r="I18" s="145"/>
      <c r="J18" s="145"/>
      <c r="K18" s="169"/>
      <c r="L18" s="169"/>
      <c r="M18" s="169"/>
      <c r="N18" s="145"/>
      <c r="O18" s="146">
        <v>16</v>
      </c>
      <c r="P18" s="163">
        <v>0.66666666666666663</v>
      </c>
      <c r="Q18" s="145"/>
      <c r="R18" s="145"/>
      <c r="S18" s="145"/>
      <c r="T18" s="145"/>
      <c r="U18" s="145"/>
      <c r="V18" s="145"/>
      <c r="W18" s="145"/>
      <c r="X18" s="145"/>
      <c r="Y18" s="145"/>
    </row>
    <row r="19" spans="1:25" ht="13.5" customHeight="1">
      <c r="A19" s="154" t="s">
        <v>68</v>
      </c>
      <c r="B19" s="170" t="s">
        <v>711</v>
      </c>
      <c r="C19" s="154" t="s">
        <v>191</v>
      </c>
      <c r="D19" s="155" t="s">
        <v>150</v>
      </c>
      <c r="E19" s="156" t="s">
        <v>699</v>
      </c>
      <c r="F19" s="145"/>
      <c r="G19" s="145"/>
      <c r="H19" s="145"/>
      <c r="I19" s="145"/>
      <c r="J19" s="145"/>
      <c r="K19" s="145"/>
      <c r="L19" s="145"/>
      <c r="M19" s="145"/>
      <c r="N19" s="145"/>
      <c r="O19" s="146">
        <v>17</v>
      </c>
      <c r="P19" s="163">
        <v>0.70833333333333337</v>
      </c>
      <c r="Q19" s="145"/>
      <c r="R19" s="145"/>
      <c r="S19" s="145"/>
      <c r="T19" s="145"/>
      <c r="U19" s="145"/>
      <c r="V19" s="145"/>
      <c r="W19" s="145"/>
      <c r="X19" s="145"/>
      <c r="Y19" s="145"/>
    </row>
    <row r="20" spans="1:25" ht="13.5" customHeight="1">
      <c r="A20" s="153" t="s">
        <v>76</v>
      </c>
      <c r="B20" s="153" t="s">
        <v>738</v>
      </c>
      <c r="C20" s="154" t="s">
        <v>151</v>
      </c>
      <c r="D20" s="155" t="s">
        <v>739</v>
      </c>
      <c r="E20" s="156" t="s">
        <v>699</v>
      </c>
      <c r="F20" s="145"/>
      <c r="G20" s="145"/>
      <c r="H20" s="145"/>
      <c r="I20" s="145"/>
      <c r="J20" s="145"/>
      <c r="K20" s="145"/>
      <c r="L20" s="145"/>
      <c r="M20" s="145"/>
      <c r="N20" s="145"/>
      <c r="O20" s="146">
        <v>18</v>
      </c>
      <c r="P20" s="163">
        <v>0.75</v>
      </c>
      <c r="Q20" s="145"/>
      <c r="R20" s="145"/>
      <c r="S20" s="145"/>
      <c r="T20" s="145"/>
      <c r="U20" s="145"/>
      <c r="V20" s="145"/>
      <c r="W20" s="145"/>
      <c r="X20" s="145"/>
      <c r="Y20" s="145"/>
    </row>
    <row r="21" spans="1:25" ht="13.5" customHeight="1">
      <c r="A21" s="152" t="s">
        <v>748</v>
      </c>
      <c r="B21" s="153" t="s">
        <v>698</v>
      </c>
      <c r="C21" s="154" t="s">
        <v>186</v>
      </c>
      <c r="D21" s="155" t="s">
        <v>82</v>
      </c>
      <c r="E21" s="156" t="s">
        <v>699</v>
      </c>
      <c r="F21" s="145"/>
      <c r="G21" s="145"/>
      <c r="H21" s="145"/>
      <c r="I21" s="145"/>
      <c r="J21" s="145"/>
      <c r="K21" s="145"/>
      <c r="L21" s="145"/>
      <c r="M21" s="145"/>
      <c r="N21" s="145"/>
      <c r="O21" s="146">
        <v>19</v>
      </c>
      <c r="P21" s="163">
        <v>0.79166666666666663</v>
      </c>
      <c r="Q21" s="145"/>
      <c r="R21" s="145"/>
      <c r="S21" s="145"/>
      <c r="T21" s="145"/>
      <c r="U21" s="145"/>
      <c r="V21" s="145"/>
      <c r="W21" s="145"/>
      <c r="X21" s="145"/>
      <c r="Y21" s="145"/>
    </row>
    <row r="22" spans="1:25" ht="13.5" customHeight="1">
      <c r="A22" s="154" t="s">
        <v>41</v>
      </c>
      <c r="B22" s="153" t="s">
        <v>706</v>
      </c>
      <c r="C22" s="156" t="s">
        <v>480</v>
      </c>
      <c r="D22" s="155" t="s">
        <v>150</v>
      </c>
      <c r="E22" s="156" t="s">
        <v>699</v>
      </c>
      <c r="F22" s="145"/>
      <c r="G22" s="145"/>
      <c r="H22" s="145"/>
      <c r="I22" s="145"/>
      <c r="J22" s="145"/>
      <c r="K22" s="145"/>
      <c r="L22" s="145"/>
      <c r="M22" s="145"/>
      <c r="N22" s="145"/>
      <c r="O22" s="146">
        <v>20</v>
      </c>
      <c r="P22" s="163">
        <v>0.83333333333333337</v>
      </c>
      <c r="Q22" s="145"/>
      <c r="R22" s="145"/>
      <c r="S22" s="145"/>
      <c r="T22" s="145"/>
      <c r="U22" s="145"/>
      <c r="V22" s="145"/>
      <c r="W22" s="145"/>
      <c r="X22" s="145"/>
      <c r="Y22" s="145"/>
    </row>
    <row r="23" spans="1:25" ht="13.5" customHeight="1">
      <c r="A23" s="154" t="s">
        <v>43</v>
      </c>
      <c r="B23" s="153" t="s">
        <v>698</v>
      </c>
      <c r="C23" s="154" t="s">
        <v>426</v>
      </c>
      <c r="D23" s="155" t="s">
        <v>82</v>
      </c>
      <c r="E23" s="156" t="s">
        <v>699</v>
      </c>
      <c r="F23" s="145"/>
      <c r="G23" s="145"/>
      <c r="H23" s="145"/>
      <c r="I23" s="145"/>
      <c r="J23" s="145"/>
      <c r="K23" s="145"/>
      <c r="L23" s="145"/>
      <c r="M23" s="145"/>
      <c r="N23" s="145"/>
      <c r="O23" s="146">
        <v>21</v>
      </c>
      <c r="P23" s="163">
        <v>0.875</v>
      </c>
      <c r="Q23" s="145"/>
      <c r="R23" s="145"/>
      <c r="S23" s="145"/>
      <c r="T23" s="145"/>
      <c r="U23" s="145"/>
      <c r="V23" s="145"/>
      <c r="W23" s="145"/>
      <c r="X23" s="145"/>
      <c r="Y23" s="145"/>
    </row>
    <row r="24" spans="1:25" ht="13.5" customHeight="1">
      <c r="F24" s="145"/>
      <c r="G24" s="145"/>
      <c r="H24" s="145"/>
      <c r="I24" s="145"/>
      <c r="J24" s="145"/>
      <c r="K24" s="145"/>
      <c r="L24" s="168"/>
      <c r="M24" s="168"/>
      <c r="N24" s="145"/>
      <c r="O24" s="146">
        <v>22</v>
      </c>
      <c r="P24" s="163">
        <v>0.91666666666666663</v>
      </c>
      <c r="Q24" s="145"/>
      <c r="R24" s="145"/>
      <c r="S24" s="145"/>
      <c r="T24" s="145"/>
      <c r="U24" s="145"/>
      <c r="V24" s="145"/>
      <c r="W24" s="145"/>
      <c r="X24" s="145"/>
      <c r="Y24" s="145"/>
    </row>
    <row r="25" spans="1:25" ht="13.5" customHeight="1">
      <c r="A25" s="153"/>
      <c r="B25" s="153"/>
      <c r="C25" s="154"/>
      <c r="D25" s="155"/>
      <c r="E25" s="156"/>
      <c r="F25" s="145"/>
      <c r="G25" s="145"/>
      <c r="H25" s="145"/>
      <c r="I25" s="145"/>
      <c r="J25" s="145"/>
      <c r="K25" s="145"/>
      <c r="L25" s="168"/>
      <c r="M25" s="168"/>
      <c r="N25" s="145"/>
      <c r="O25" s="146">
        <v>23</v>
      </c>
      <c r="P25" s="163">
        <v>0.95833333333333337</v>
      </c>
      <c r="Q25" s="145"/>
      <c r="R25" s="145"/>
      <c r="S25" s="145"/>
      <c r="T25" s="145"/>
      <c r="U25" s="145"/>
      <c r="V25" s="145"/>
      <c r="W25" s="145"/>
      <c r="X25" s="145"/>
      <c r="Y25" s="145"/>
    </row>
    <row r="26" spans="1:25" ht="13.5" customHeight="1">
      <c r="F26" s="145"/>
      <c r="G26" s="145"/>
      <c r="H26" s="145"/>
      <c r="I26" s="145"/>
      <c r="J26" s="145"/>
      <c r="K26" s="145"/>
      <c r="L26" s="168"/>
      <c r="M26" s="168"/>
      <c r="N26" s="145"/>
      <c r="O26" s="146">
        <v>24</v>
      </c>
      <c r="P26" s="163"/>
      <c r="Q26" s="145"/>
      <c r="R26" s="145"/>
      <c r="S26" s="145"/>
      <c r="T26" s="145"/>
      <c r="U26" s="145"/>
      <c r="V26" s="145"/>
      <c r="W26" s="145"/>
      <c r="X26" s="145"/>
      <c r="Y26" s="145"/>
    </row>
    <row r="27" spans="1:25" ht="13.5" customHeight="1">
      <c r="F27" s="145"/>
      <c r="G27" s="145"/>
      <c r="H27" s="145"/>
      <c r="I27" s="145"/>
      <c r="J27" s="145"/>
      <c r="K27" s="145"/>
      <c r="L27" s="168"/>
      <c r="M27" s="168"/>
      <c r="N27" s="145"/>
      <c r="O27" s="146">
        <v>25</v>
      </c>
      <c r="P27" s="163"/>
      <c r="Q27" s="145"/>
      <c r="R27" s="145"/>
      <c r="S27" s="145"/>
      <c r="T27" s="145"/>
      <c r="U27" s="145"/>
      <c r="V27" s="145"/>
      <c r="W27" s="145"/>
      <c r="X27" s="145"/>
      <c r="Y27" s="145"/>
    </row>
    <row r="28" spans="1:25" ht="13.5" customHeight="1">
      <c r="F28" s="145"/>
      <c r="G28" s="145"/>
      <c r="H28" s="145"/>
      <c r="I28" s="145"/>
      <c r="J28" s="145"/>
      <c r="K28" s="145"/>
      <c r="L28" s="168"/>
      <c r="M28" s="168"/>
      <c r="N28" s="145"/>
      <c r="O28" s="146">
        <v>26</v>
      </c>
      <c r="P28" s="163"/>
      <c r="Q28" s="145"/>
      <c r="R28" s="145"/>
      <c r="S28" s="145"/>
      <c r="T28" s="145"/>
      <c r="U28" s="145"/>
      <c r="V28" s="145"/>
      <c r="W28" s="145"/>
      <c r="X28" s="145"/>
      <c r="Y28" s="145"/>
    </row>
    <row r="29" spans="1:25" ht="13.5" customHeight="1">
      <c r="F29" s="145"/>
      <c r="G29" s="145"/>
      <c r="H29" s="145"/>
      <c r="I29" s="145"/>
      <c r="J29" s="145"/>
      <c r="K29" s="145"/>
      <c r="L29" s="168"/>
      <c r="M29" s="168"/>
      <c r="N29" s="145"/>
      <c r="O29" s="146">
        <v>27</v>
      </c>
      <c r="P29" s="160"/>
      <c r="Q29" s="145"/>
      <c r="R29" s="145"/>
      <c r="S29" s="145"/>
      <c r="T29" s="145"/>
      <c r="U29" s="145"/>
      <c r="V29" s="145"/>
      <c r="W29" s="145"/>
      <c r="X29" s="145"/>
      <c r="Y29" s="145"/>
    </row>
    <row r="30" spans="1:25" ht="13.5" customHeight="1">
      <c r="F30" s="145"/>
      <c r="G30" s="145"/>
      <c r="H30" s="145"/>
      <c r="I30" s="145"/>
      <c r="J30" s="145"/>
      <c r="K30" s="145"/>
      <c r="L30" s="168"/>
      <c r="M30" s="168"/>
      <c r="N30" s="145"/>
      <c r="O30" s="146">
        <v>28</v>
      </c>
      <c r="P30" s="160"/>
      <c r="Q30" s="145"/>
      <c r="R30" s="145"/>
      <c r="S30" s="145"/>
      <c r="T30" s="145"/>
      <c r="U30" s="145"/>
      <c r="V30" s="145"/>
      <c r="W30" s="145"/>
      <c r="X30" s="145"/>
      <c r="Y30" s="145"/>
    </row>
    <row r="31" spans="1:25" ht="13.5" customHeight="1">
      <c r="F31" s="145"/>
      <c r="G31" s="145"/>
      <c r="H31" s="145"/>
      <c r="I31" s="145"/>
      <c r="J31" s="145"/>
      <c r="K31" s="145"/>
      <c r="L31" s="168"/>
      <c r="M31" s="168"/>
      <c r="N31" s="145"/>
      <c r="O31" s="146">
        <v>29</v>
      </c>
      <c r="P31" s="160"/>
      <c r="Q31" s="145"/>
      <c r="R31" s="145"/>
      <c r="S31" s="145"/>
      <c r="T31" s="145"/>
      <c r="U31" s="145"/>
      <c r="V31" s="145"/>
      <c r="W31" s="145"/>
      <c r="X31" s="145"/>
      <c r="Y31" s="145"/>
    </row>
    <row r="32" spans="1:25" ht="13.5" customHeight="1">
      <c r="F32" s="145"/>
      <c r="G32" s="145"/>
      <c r="H32" s="145"/>
      <c r="I32" s="145"/>
      <c r="J32" s="145"/>
      <c r="K32" s="145"/>
      <c r="L32" s="168"/>
      <c r="M32" s="168"/>
      <c r="N32" s="145"/>
      <c r="O32" s="146">
        <v>30</v>
      </c>
      <c r="P32" s="160"/>
      <c r="Q32" s="145"/>
      <c r="R32" s="145"/>
      <c r="S32" s="145"/>
      <c r="T32" s="145"/>
      <c r="U32" s="145"/>
      <c r="V32" s="145"/>
      <c r="W32" s="145"/>
      <c r="X32" s="145"/>
      <c r="Y32" s="145"/>
    </row>
    <row r="33" spans="6:25" ht="13.5" customHeight="1">
      <c r="F33" s="145"/>
      <c r="G33" s="145"/>
      <c r="H33" s="145"/>
      <c r="I33" s="145"/>
      <c r="J33" s="145"/>
      <c r="K33" s="145"/>
      <c r="L33" s="168"/>
      <c r="M33" s="168"/>
      <c r="N33" s="145"/>
      <c r="O33" s="146">
        <v>31</v>
      </c>
      <c r="P33" s="160"/>
      <c r="Q33" s="145"/>
      <c r="R33" s="145"/>
      <c r="S33" s="145"/>
      <c r="T33" s="145"/>
      <c r="U33" s="145"/>
      <c r="V33" s="145"/>
      <c r="W33" s="145"/>
      <c r="X33" s="145"/>
      <c r="Y33" s="145"/>
    </row>
    <row r="34" spans="6:25" ht="13.5" customHeight="1">
      <c r="F34" s="145"/>
      <c r="G34" s="145"/>
      <c r="H34" s="145"/>
      <c r="I34" s="145"/>
      <c r="J34" s="145"/>
      <c r="K34" s="145"/>
      <c r="L34" s="168"/>
      <c r="M34" s="168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spans="6:25" ht="13.5" customHeight="1">
      <c r="F35" s="145"/>
      <c r="G35" s="145"/>
      <c r="H35" s="145"/>
      <c r="I35" s="145"/>
      <c r="J35" s="145"/>
      <c r="K35" s="145"/>
      <c r="L35" s="168"/>
      <c r="M35" s="168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spans="6:25" ht="13.5" customHeight="1">
      <c r="F36" s="145"/>
      <c r="G36" s="145"/>
      <c r="H36" s="145"/>
      <c r="I36" s="145"/>
      <c r="J36" s="145"/>
      <c r="K36" s="145"/>
      <c r="L36" s="168"/>
      <c r="M36" s="168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spans="6:25" ht="13.5" customHeight="1">
      <c r="F37" s="145"/>
      <c r="G37" s="145"/>
      <c r="H37" s="145"/>
      <c r="I37" s="145"/>
      <c r="J37" s="145"/>
      <c r="K37" s="145"/>
      <c r="L37" s="168"/>
      <c r="M37" s="168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spans="6:25" ht="13.5" customHeight="1"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spans="6:25" ht="13.5" customHeight="1"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spans="6:25" ht="13.5" customHeight="1"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spans="6:25" ht="13.5" customHeight="1"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</row>
    <row r="42" spans="6:25" ht="13.5" customHeight="1"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spans="6:25" ht="13.5" customHeight="1"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spans="6:25" ht="13.5" customHeight="1"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</row>
    <row r="45" spans="6:25" ht="13.5" customHeight="1"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</row>
    <row r="46" spans="6:25" ht="13.5" customHeight="1"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</row>
    <row r="47" spans="6:25" ht="13.5" customHeight="1"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</row>
    <row r="48" spans="6:25" ht="13.5" customHeight="1"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</row>
    <row r="49" spans="6:25" ht="13.5" customHeight="1"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</row>
    <row r="50" spans="6:25" ht="13.5" customHeight="1"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</row>
    <row r="51" spans="6:25" ht="13.5" customHeight="1"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</row>
    <row r="52" spans="6:25" ht="13.5" customHeight="1"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</row>
    <row r="53" spans="6:25" ht="13.5" customHeight="1"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</row>
    <row r="54" spans="6:25" ht="13.5" customHeight="1"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</row>
    <row r="55" spans="6:25" ht="13.5" customHeight="1"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</row>
    <row r="56" spans="6:25" ht="13.5" customHeight="1"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</row>
    <row r="57" spans="6:25" ht="13.5" customHeight="1"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</row>
    <row r="58" spans="6:25" ht="13.5" customHeight="1"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</row>
    <row r="59" spans="6:25" ht="13.5" customHeight="1"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</row>
    <row r="60" spans="6:25" ht="13.5" customHeight="1"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</row>
    <row r="61" spans="6:25" ht="13.5" customHeight="1"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</row>
    <row r="62" spans="6:25" ht="13.5" customHeight="1"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</row>
    <row r="63" spans="6:25" ht="13.5" customHeight="1"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</row>
    <row r="64" spans="6:25" ht="13.5" customHeight="1"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</row>
    <row r="65" spans="6:25" ht="13.5" customHeight="1"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</row>
    <row r="66" spans="6:25" ht="13.5" customHeight="1"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</row>
    <row r="67" spans="6:25" ht="13.5" customHeight="1"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</row>
    <row r="68" spans="6:25" ht="13.5" customHeight="1"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</row>
    <row r="69" spans="6:25" ht="13.5" customHeight="1"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</row>
    <row r="70" spans="6:25" ht="13.5" customHeight="1"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</row>
    <row r="71" spans="6:25" ht="13.5" customHeight="1"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</row>
    <row r="72" spans="6:25" ht="13.5" customHeight="1"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</row>
    <row r="73" spans="6:25" ht="13.5" customHeight="1"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</row>
    <row r="74" spans="6:25" ht="13.5" customHeight="1"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</row>
    <row r="75" spans="6:25" ht="13.5" customHeight="1"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</row>
    <row r="76" spans="6:25" ht="13.5" customHeight="1"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</row>
    <row r="77" spans="6:25" ht="13.5" customHeight="1"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</row>
    <row r="78" spans="6:25" ht="13.5" customHeight="1"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</row>
    <row r="79" spans="6:25" ht="13.5" customHeight="1"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</row>
    <row r="80" spans="6:25" ht="13.5" customHeight="1"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</row>
    <row r="81" spans="6:25" ht="13.5" customHeight="1"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</row>
    <row r="82" spans="6:25" ht="13.5" customHeight="1"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</row>
    <row r="83" spans="6:25" ht="13.5" customHeight="1"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</row>
    <row r="84" spans="6:25" ht="13.5" customHeight="1"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</row>
    <row r="85" spans="6:25" ht="13.5" customHeight="1"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</row>
    <row r="86" spans="6:25" ht="13.5" customHeight="1"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</row>
    <row r="87" spans="6:25" ht="13.5" customHeight="1"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</row>
    <row r="88" spans="6:25" ht="13.5" customHeight="1"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</row>
    <row r="89" spans="6:25" ht="13.5" customHeight="1"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</row>
    <row r="90" spans="6:25" ht="13.5" customHeight="1"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</row>
    <row r="91" spans="6:25" ht="13.5" customHeight="1"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</row>
    <row r="92" spans="6:25" ht="13.5" customHeight="1"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</row>
    <row r="93" spans="6:25" ht="13.5" customHeight="1"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</row>
    <row r="94" spans="6:25" ht="13.5" customHeight="1"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</row>
    <row r="95" spans="6:25" ht="13.5" customHeight="1"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</row>
    <row r="96" spans="6:25" ht="13.5" customHeight="1"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</row>
    <row r="97" spans="6:25" ht="13.5" customHeight="1"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</row>
    <row r="98" spans="6:25" ht="13.5" customHeight="1"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</row>
    <row r="99" spans="6:25" ht="13.5" customHeight="1"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</row>
    <row r="100" spans="6:25" ht="13.5" customHeight="1"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</row>
    <row r="101" spans="6:25" ht="13.5" customHeight="1"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</row>
    <row r="102" spans="6:25" ht="13.5" customHeight="1"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</row>
    <row r="103" spans="6:25" ht="13.5" customHeight="1"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</row>
    <row r="104" spans="6:25" ht="13.5" customHeight="1"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</row>
    <row r="105" spans="6:25" ht="13.5" customHeight="1"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</row>
    <row r="106" spans="6:25" ht="13.5" customHeight="1"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</row>
    <row r="107" spans="6:25" ht="13.5" customHeight="1"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</row>
    <row r="108" spans="6:25" ht="13.5" customHeight="1"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</row>
    <row r="109" spans="6:25" ht="13.5" customHeight="1"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</row>
    <row r="110" spans="6:25" ht="13.5" customHeight="1"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</row>
    <row r="111" spans="6:25" ht="13.5" customHeight="1"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</row>
    <row r="112" spans="6:25" ht="13.5" customHeight="1"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</row>
    <row r="113" spans="1:25" ht="13.5" customHeight="1">
      <c r="A113" s="171"/>
      <c r="B113" s="171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</row>
    <row r="114" spans="1:25" ht="13.5" customHeight="1">
      <c r="A114" s="171"/>
      <c r="B114" s="171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</row>
    <row r="115" spans="1:25" ht="13.5" customHeight="1">
      <c r="A115" s="171"/>
      <c r="B115" s="171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</row>
    <row r="116" spans="1:25" ht="13.5" customHeight="1">
      <c r="A116" s="171"/>
      <c r="B116" s="171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</row>
    <row r="117" spans="1:25" ht="13.5" customHeight="1">
      <c r="A117" s="171"/>
      <c r="B117" s="171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</row>
    <row r="118" spans="1:25" ht="13.5" customHeight="1">
      <c r="A118" s="171"/>
      <c r="B118" s="171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</row>
    <row r="119" spans="1:25" ht="13.5" customHeight="1">
      <c r="A119" s="171"/>
      <c r="B119" s="171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</row>
    <row r="120" spans="1:25" ht="13.5" customHeight="1">
      <c r="A120" s="171"/>
      <c r="B120" s="171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</row>
    <row r="121" spans="1:25" ht="13.5" customHeight="1">
      <c r="A121" s="171"/>
      <c r="B121" s="171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</row>
    <row r="122" spans="1:25" ht="13.5" customHeight="1">
      <c r="A122" s="171"/>
      <c r="B122" s="171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</row>
    <row r="123" spans="1:25" ht="13.5" customHeight="1">
      <c r="A123" s="171"/>
      <c r="B123" s="171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</row>
    <row r="124" spans="1:25" ht="13.5" customHeight="1">
      <c r="A124" s="171"/>
      <c r="B124" s="171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</row>
    <row r="125" spans="1:25" ht="13.5" customHeight="1">
      <c r="A125" s="171"/>
      <c r="B125" s="171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</row>
    <row r="126" spans="1:25" ht="13.5" customHeight="1">
      <c r="A126" s="171"/>
      <c r="B126" s="171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</row>
    <row r="127" spans="1:25" ht="13.5" customHeight="1">
      <c r="A127" s="171"/>
      <c r="B127" s="171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</row>
    <row r="128" spans="1:25" ht="13.5" customHeight="1">
      <c r="A128" s="171"/>
      <c r="B128" s="171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</row>
    <row r="129" spans="1:25" ht="13.5" customHeight="1">
      <c r="A129" s="171"/>
      <c r="B129" s="171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</row>
    <row r="130" spans="1:25" ht="13.5" customHeight="1">
      <c r="A130" s="171"/>
      <c r="B130" s="171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</row>
    <row r="131" spans="1:25" ht="13.5" customHeight="1">
      <c r="A131" s="171"/>
      <c r="B131" s="171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</row>
    <row r="132" spans="1:25" ht="13.5" customHeight="1">
      <c r="A132" s="171"/>
      <c r="B132" s="171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</row>
    <row r="133" spans="1:25" ht="13.5" customHeight="1">
      <c r="A133" s="171"/>
      <c r="B133" s="171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</row>
    <row r="134" spans="1:25" ht="13.5" customHeight="1">
      <c r="A134" s="171"/>
      <c r="B134" s="171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</row>
    <row r="135" spans="1:25" ht="13.5" customHeight="1">
      <c r="A135" s="171"/>
      <c r="B135" s="171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</row>
    <row r="136" spans="1:25" ht="13.5" customHeight="1">
      <c r="A136" s="171"/>
      <c r="B136" s="171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</row>
    <row r="137" spans="1:25" ht="13.5" customHeight="1">
      <c r="A137" s="171"/>
      <c r="B137" s="171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</row>
    <row r="138" spans="1:25" ht="13.5" customHeight="1">
      <c r="A138" s="171"/>
      <c r="B138" s="171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</row>
    <row r="139" spans="1:25" ht="13.5" customHeight="1">
      <c r="A139" s="171"/>
      <c r="B139" s="171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</row>
    <row r="140" spans="1:25" ht="13.5" customHeight="1">
      <c r="A140" s="171"/>
      <c r="B140" s="171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</row>
    <row r="141" spans="1:25" ht="13.5" customHeight="1">
      <c r="A141" s="171"/>
      <c r="B141" s="171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</row>
    <row r="142" spans="1:25" ht="13.5" customHeight="1">
      <c r="A142" s="171"/>
      <c r="B142" s="171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</row>
    <row r="143" spans="1:25" ht="13.5" customHeight="1">
      <c r="A143" s="171"/>
      <c r="B143" s="171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</row>
    <row r="144" spans="1:25" ht="13.5" customHeight="1">
      <c r="A144" s="171"/>
      <c r="B144" s="171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</row>
    <row r="145" spans="1:25" ht="13.5" customHeight="1">
      <c r="A145" s="171"/>
      <c r="B145" s="171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</row>
    <row r="146" spans="1:25" ht="13.5" customHeight="1">
      <c r="A146" s="171"/>
      <c r="B146" s="171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</row>
    <row r="147" spans="1:25" ht="13.5" customHeight="1">
      <c r="A147" s="171"/>
      <c r="B147" s="171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</row>
    <row r="148" spans="1:25" ht="13.5" customHeight="1">
      <c r="A148" s="171"/>
      <c r="B148" s="171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</row>
    <row r="149" spans="1:25" ht="13.5" customHeight="1">
      <c r="A149" s="171"/>
      <c r="B149" s="171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</row>
    <row r="150" spans="1:25" ht="13.5" customHeight="1">
      <c r="A150" s="171"/>
      <c r="B150" s="171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</row>
    <row r="151" spans="1:25" ht="13.5" customHeight="1">
      <c r="A151" s="171"/>
      <c r="B151" s="171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</row>
    <row r="152" spans="1:25" ht="13.5" customHeight="1">
      <c r="A152" s="171"/>
      <c r="B152" s="171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</row>
    <row r="153" spans="1:25" ht="13.5" customHeight="1">
      <c r="A153" s="171"/>
      <c r="B153" s="171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</row>
    <row r="154" spans="1:25" ht="13.5" customHeight="1">
      <c r="A154" s="171"/>
      <c r="B154" s="171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</row>
    <row r="155" spans="1:25" ht="13.5" customHeight="1">
      <c r="A155" s="171"/>
      <c r="B155" s="171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</row>
    <row r="156" spans="1:25" ht="13.5" customHeight="1">
      <c r="A156" s="171"/>
      <c r="B156" s="171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</row>
    <row r="157" spans="1:25" ht="13.5" customHeight="1">
      <c r="A157" s="171"/>
      <c r="B157" s="171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</row>
    <row r="158" spans="1:25" ht="13.5" customHeight="1">
      <c r="A158" s="171"/>
      <c r="B158" s="171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</row>
    <row r="159" spans="1:25" ht="13.5" customHeight="1">
      <c r="A159" s="171"/>
      <c r="B159" s="171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</row>
    <row r="160" spans="1:25" ht="13.5" customHeight="1">
      <c r="A160" s="171"/>
      <c r="B160" s="171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</row>
    <row r="161" spans="1:25" ht="13.5" customHeight="1">
      <c r="A161" s="171"/>
      <c r="B161" s="171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</row>
    <row r="162" spans="1:25" ht="13.5" customHeight="1">
      <c r="A162" s="171"/>
      <c r="B162" s="171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</row>
    <row r="163" spans="1:25" ht="13.5" customHeight="1">
      <c r="A163" s="171"/>
      <c r="B163" s="171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</row>
    <row r="164" spans="1:25" ht="13.5" customHeight="1">
      <c r="A164" s="171"/>
      <c r="B164" s="171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</row>
    <row r="165" spans="1:25" ht="13.5" customHeight="1">
      <c r="A165" s="171"/>
      <c r="B165" s="171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</row>
    <row r="166" spans="1:25" ht="13.5" customHeight="1">
      <c r="A166" s="171"/>
      <c r="B166" s="171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</row>
    <row r="167" spans="1:25" ht="13.5" customHeight="1">
      <c r="A167" s="171"/>
      <c r="B167" s="171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</row>
    <row r="168" spans="1:25" ht="13.5" customHeight="1">
      <c r="A168" s="171"/>
      <c r="B168" s="171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</row>
    <row r="169" spans="1:25" ht="13.5" customHeight="1">
      <c r="A169" s="171"/>
      <c r="B169" s="171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</row>
    <row r="170" spans="1:25" ht="13.5" customHeight="1">
      <c r="A170" s="171"/>
      <c r="B170" s="171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</row>
    <row r="171" spans="1:25" ht="13.5" customHeight="1">
      <c r="A171" s="171"/>
      <c r="B171" s="171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</row>
    <row r="172" spans="1:25" ht="13.5" customHeight="1">
      <c r="A172" s="171"/>
      <c r="B172" s="171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</row>
    <row r="173" spans="1:25" ht="13.5" customHeight="1">
      <c r="A173" s="171"/>
      <c r="B173" s="171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</row>
    <row r="174" spans="1:25" ht="13.5" customHeight="1">
      <c r="A174" s="171"/>
      <c r="B174" s="171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</row>
    <row r="175" spans="1:25" ht="13.5" customHeight="1">
      <c r="A175" s="171"/>
      <c r="B175" s="171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</row>
    <row r="176" spans="1:25" ht="13.5" customHeight="1">
      <c r="A176" s="171"/>
      <c r="B176" s="171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</row>
    <row r="177" spans="1:25" ht="13.5" customHeight="1">
      <c r="A177" s="171"/>
      <c r="B177" s="171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</row>
    <row r="178" spans="1:25" ht="13.5" customHeight="1">
      <c r="A178" s="171"/>
      <c r="B178" s="171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</row>
    <row r="179" spans="1:25" ht="13.5" customHeight="1">
      <c r="A179" s="171"/>
      <c r="B179" s="171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</row>
    <row r="180" spans="1:25" ht="13.5" customHeight="1">
      <c r="A180" s="171"/>
      <c r="B180" s="171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</row>
    <row r="181" spans="1:25" ht="13.5" customHeight="1">
      <c r="A181" s="171"/>
      <c r="B181" s="171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</row>
    <row r="182" spans="1:25" ht="13.5" customHeight="1">
      <c r="A182" s="171"/>
      <c r="B182" s="171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</row>
    <row r="183" spans="1:25" ht="13.5" customHeight="1">
      <c r="A183" s="171"/>
      <c r="B183" s="171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</row>
    <row r="184" spans="1:25" ht="13.5" customHeight="1">
      <c r="A184" s="171"/>
      <c r="B184" s="171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</row>
    <row r="185" spans="1:25" ht="13.5" customHeight="1">
      <c r="A185" s="171"/>
      <c r="B185" s="171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</row>
    <row r="186" spans="1:25" ht="13.5" customHeight="1">
      <c r="A186" s="171"/>
      <c r="B186" s="171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</row>
    <row r="187" spans="1:25" ht="13.5" customHeight="1">
      <c r="A187" s="171"/>
      <c r="B187" s="171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</row>
    <row r="188" spans="1:25" ht="13.5" customHeight="1">
      <c r="A188" s="171"/>
      <c r="B188" s="171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</row>
    <row r="189" spans="1:25" ht="13.5" customHeight="1">
      <c r="A189" s="171"/>
      <c r="B189" s="171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</row>
    <row r="190" spans="1:25" ht="13.5" customHeight="1">
      <c r="A190" s="171"/>
      <c r="B190" s="171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</row>
    <row r="191" spans="1:25" ht="13.5" customHeight="1">
      <c r="A191" s="171"/>
      <c r="B191" s="171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</row>
    <row r="192" spans="1:25" ht="13.5" customHeight="1">
      <c r="A192" s="171"/>
      <c r="B192" s="171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</row>
    <row r="193" spans="1:25" ht="13.5" customHeight="1">
      <c r="A193" s="171"/>
      <c r="B193" s="171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</row>
    <row r="194" spans="1:25" ht="13.5" customHeight="1">
      <c r="A194" s="171"/>
      <c r="B194" s="171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</row>
    <row r="195" spans="1:25" ht="13.5" customHeight="1">
      <c r="A195" s="171"/>
      <c r="B195" s="171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</row>
    <row r="196" spans="1:25" ht="13.5" customHeight="1">
      <c r="A196" s="171"/>
      <c r="B196" s="171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</row>
    <row r="197" spans="1:25" ht="13.5" customHeight="1">
      <c r="A197" s="171"/>
      <c r="B197" s="171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</row>
    <row r="198" spans="1:25" ht="13.5" customHeight="1">
      <c r="A198" s="171"/>
      <c r="B198" s="171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</row>
    <row r="199" spans="1:25" ht="13.5" customHeight="1">
      <c r="A199" s="171"/>
      <c r="B199" s="171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</row>
    <row r="200" spans="1:25" ht="13.5" customHeight="1">
      <c r="A200" s="171"/>
      <c r="B200" s="171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</row>
    <row r="201" spans="1:25" ht="13.5" customHeight="1">
      <c r="A201" s="171"/>
      <c r="B201" s="171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</row>
    <row r="202" spans="1:25" ht="13.5" customHeight="1">
      <c r="A202" s="171"/>
      <c r="B202" s="171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</row>
    <row r="203" spans="1:25" ht="13.5" customHeight="1">
      <c r="A203" s="171"/>
      <c r="B203" s="171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</row>
    <row r="204" spans="1:25" ht="13.5" customHeight="1">
      <c r="A204" s="171"/>
      <c r="B204" s="171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</row>
    <row r="205" spans="1:25" ht="13.5" customHeight="1">
      <c r="A205" s="171"/>
      <c r="B205" s="171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</row>
    <row r="206" spans="1:25" ht="13.5" customHeight="1">
      <c r="A206" s="171"/>
      <c r="B206" s="171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</row>
    <row r="207" spans="1:25" ht="13.5" customHeight="1">
      <c r="A207" s="171"/>
      <c r="B207" s="171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</row>
    <row r="208" spans="1:25" ht="13.5" customHeight="1">
      <c r="A208" s="171"/>
      <c r="B208" s="171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</row>
    <row r="209" spans="1:25" ht="13.5" customHeight="1">
      <c r="A209" s="171"/>
      <c r="B209" s="171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</row>
    <row r="210" spans="1:25" ht="13.5" customHeight="1">
      <c r="A210" s="171"/>
      <c r="B210" s="171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</row>
    <row r="211" spans="1:25" ht="13.5" customHeight="1">
      <c r="A211" s="171"/>
      <c r="B211" s="171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</row>
    <row r="212" spans="1:25" ht="13.5" customHeight="1">
      <c r="A212" s="171"/>
      <c r="B212" s="171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</row>
    <row r="213" spans="1:25" ht="13.5" customHeight="1">
      <c r="A213" s="171"/>
      <c r="B213" s="171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</row>
    <row r="214" spans="1:25" ht="13.5" customHeight="1">
      <c r="A214" s="171"/>
      <c r="B214" s="171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</row>
    <row r="215" spans="1:25" ht="13.5" customHeight="1">
      <c r="A215" s="171"/>
      <c r="B215" s="171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</row>
    <row r="216" spans="1:25" ht="13.5" customHeight="1">
      <c r="A216" s="171"/>
      <c r="B216" s="171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</row>
    <row r="217" spans="1:25" ht="13.5" customHeight="1">
      <c r="A217" s="171"/>
      <c r="B217" s="171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</row>
    <row r="218" spans="1:25" ht="13.5" customHeight="1">
      <c r="A218" s="171"/>
      <c r="B218" s="171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</row>
    <row r="219" spans="1:25" ht="13.5" customHeight="1">
      <c r="A219" s="171"/>
      <c r="B219" s="171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</row>
    <row r="220" spans="1:25" ht="13.5" customHeight="1">
      <c r="A220" s="171"/>
      <c r="B220" s="171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</row>
    <row r="221" spans="1:25" ht="13.5" customHeight="1">
      <c r="A221" s="171"/>
      <c r="B221" s="171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</row>
    <row r="222" spans="1:25" ht="13.5" customHeight="1">
      <c r="A222" s="171"/>
      <c r="B222" s="171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</row>
    <row r="223" spans="1:25" ht="13.5" customHeight="1">
      <c r="A223" s="171"/>
      <c r="B223" s="171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</row>
    <row r="224" spans="1:25" ht="13.5" customHeight="1">
      <c r="A224" s="171"/>
      <c r="B224" s="171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</row>
    <row r="225" spans="1:25" ht="13.5" customHeight="1">
      <c r="A225" s="171"/>
      <c r="B225" s="171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</row>
    <row r="226" spans="1:25" ht="13.5" customHeight="1">
      <c r="A226" s="171"/>
      <c r="B226" s="171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</row>
    <row r="227" spans="1:25" ht="13.5" customHeight="1">
      <c r="A227" s="171"/>
      <c r="B227" s="171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</row>
    <row r="228" spans="1:25" ht="13.5" customHeight="1">
      <c r="A228" s="171"/>
      <c r="B228" s="171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</row>
    <row r="229" spans="1:25" ht="13.5" customHeight="1">
      <c r="A229" s="171"/>
      <c r="B229" s="171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</row>
    <row r="230" spans="1:25" ht="13.5" customHeight="1">
      <c r="A230" s="171"/>
      <c r="B230" s="171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</row>
    <row r="231" spans="1:25" ht="13.5" customHeight="1">
      <c r="A231" s="171"/>
      <c r="B231" s="171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</row>
    <row r="232" spans="1:25" ht="13.5" customHeight="1">
      <c r="A232" s="171"/>
      <c r="B232" s="171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</row>
    <row r="233" spans="1:25" ht="13.5" customHeight="1">
      <c r="A233" s="171"/>
      <c r="B233" s="171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</row>
    <row r="234" spans="1:25" ht="13.5" customHeight="1">
      <c r="A234" s="171"/>
      <c r="B234" s="171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</row>
    <row r="235" spans="1:25" ht="13.5" customHeight="1">
      <c r="A235" s="171"/>
      <c r="B235" s="171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</row>
    <row r="236" spans="1:25" ht="13.5" customHeight="1">
      <c r="A236" s="171"/>
      <c r="B236" s="171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</row>
    <row r="237" spans="1:25" ht="13.5" customHeight="1">
      <c r="A237" s="171"/>
      <c r="B237" s="171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</row>
    <row r="238" spans="1:25" ht="13.5" customHeight="1">
      <c r="A238" s="171"/>
      <c r="B238" s="171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</row>
    <row r="239" spans="1:25" ht="13.5" customHeight="1">
      <c r="A239" s="171"/>
      <c r="B239" s="171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</row>
    <row r="240" spans="1:25" ht="13.5" customHeight="1">
      <c r="A240" s="171"/>
      <c r="B240" s="171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</row>
    <row r="241" spans="1:25" ht="13.5" customHeight="1">
      <c r="A241" s="171"/>
      <c r="B241" s="171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</row>
    <row r="242" spans="1:25" ht="13.5" customHeight="1">
      <c r="A242" s="171"/>
      <c r="B242" s="171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</row>
    <row r="243" spans="1:25" ht="13.5" customHeight="1">
      <c r="A243" s="171"/>
      <c r="B243" s="171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</row>
    <row r="244" spans="1:25" ht="13.5" customHeight="1">
      <c r="A244" s="171"/>
      <c r="B244" s="171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</row>
    <row r="245" spans="1:25" ht="13.5" customHeight="1">
      <c r="A245" s="171"/>
      <c r="B245" s="171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</row>
    <row r="246" spans="1:25" ht="13.5" customHeight="1">
      <c r="A246" s="171"/>
      <c r="B246" s="171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</row>
    <row r="247" spans="1:25" ht="13.5" customHeight="1">
      <c r="A247" s="171"/>
      <c r="B247" s="171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</row>
    <row r="248" spans="1:25" ht="13.5" customHeight="1">
      <c r="A248" s="171"/>
      <c r="B248" s="171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</row>
    <row r="249" spans="1:25" ht="13.5" customHeight="1">
      <c r="A249" s="171"/>
      <c r="B249" s="171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</row>
    <row r="250" spans="1:25" ht="13.5" customHeight="1">
      <c r="A250" s="171"/>
      <c r="B250" s="171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</row>
    <row r="251" spans="1:25" ht="13.5" customHeight="1">
      <c r="A251" s="171"/>
      <c r="B251" s="171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</row>
    <row r="252" spans="1:25" ht="13.5" customHeight="1">
      <c r="A252" s="171"/>
      <c r="B252" s="171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</row>
    <row r="253" spans="1:25" ht="13.5" customHeight="1">
      <c r="A253" s="171"/>
      <c r="B253" s="171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</row>
    <row r="254" spans="1:25" ht="13.5" customHeight="1">
      <c r="A254" s="171"/>
      <c r="B254" s="171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</row>
    <row r="255" spans="1:25" ht="13.5" customHeight="1">
      <c r="A255" s="171"/>
      <c r="B255" s="171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</row>
    <row r="256" spans="1:25" ht="13.5" customHeight="1">
      <c r="A256" s="171"/>
      <c r="B256" s="171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</row>
    <row r="257" spans="1:25" ht="13.5" customHeight="1">
      <c r="A257" s="171"/>
      <c r="B257" s="171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</row>
    <row r="258" spans="1:25" ht="13.5" customHeight="1">
      <c r="A258" s="171"/>
      <c r="B258" s="171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</row>
    <row r="259" spans="1:25" ht="13.5" customHeight="1">
      <c r="A259" s="171"/>
      <c r="B259" s="171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</row>
    <row r="260" spans="1:25" ht="13.5" customHeight="1">
      <c r="A260" s="171"/>
      <c r="B260" s="171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</row>
    <row r="261" spans="1:25" ht="13.5" customHeight="1">
      <c r="A261" s="171"/>
      <c r="B261" s="171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</row>
    <row r="262" spans="1:25" ht="13.5" customHeight="1">
      <c r="A262" s="171"/>
      <c r="B262" s="171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</row>
    <row r="263" spans="1:25" ht="13.5" customHeight="1">
      <c r="A263" s="171"/>
      <c r="B263" s="171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</row>
    <row r="264" spans="1:25" ht="13.5" customHeight="1">
      <c r="A264" s="171"/>
      <c r="B264" s="171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</row>
    <row r="265" spans="1:25" ht="13.5" customHeight="1">
      <c r="A265" s="171"/>
      <c r="B265" s="171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</row>
    <row r="266" spans="1:25" ht="13.5" customHeight="1">
      <c r="A266" s="171"/>
      <c r="B266" s="171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</row>
    <row r="267" spans="1:25" ht="13.5" customHeight="1">
      <c r="A267" s="171"/>
      <c r="B267" s="171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</row>
    <row r="268" spans="1:25" ht="13.5" customHeight="1">
      <c r="A268" s="171"/>
      <c r="B268" s="171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</row>
    <row r="269" spans="1:25" ht="13.5" customHeight="1">
      <c r="A269" s="171"/>
      <c r="B269" s="171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</row>
    <row r="270" spans="1:25" ht="13.5" customHeight="1">
      <c r="A270" s="171"/>
      <c r="B270" s="171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</row>
    <row r="271" spans="1:25" ht="13.5" customHeight="1">
      <c r="A271" s="171"/>
      <c r="B271" s="171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</row>
    <row r="272" spans="1:25" ht="13.5" customHeight="1">
      <c r="A272" s="171"/>
      <c r="B272" s="171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</row>
    <row r="273" spans="1:25" ht="13.5" customHeight="1">
      <c r="A273" s="171"/>
      <c r="B273" s="171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</row>
    <row r="274" spans="1:25" ht="13.5" customHeight="1">
      <c r="A274" s="171"/>
      <c r="B274" s="171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</row>
    <row r="275" spans="1:25" ht="13.5" customHeight="1">
      <c r="A275" s="171"/>
      <c r="B275" s="171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</row>
    <row r="276" spans="1:25" ht="13.5" customHeight="1">
      <c r="A276" s="171"/>
      <c r="B276" s="171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</row>
    <row r="277" spans="1:25" ht="13.5" customHeight="1">
      <c r="A277" s="171"/>
      <c r="B277" s="171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</row>
    <row r="278" spans="1:25" ht="13.5" customHeight="1">
      <c r="A278" s="171"/>
      <c r="B278" s="171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</row>
    <row r="279" spans="1:25" ht="13.5" customHeight="1">
      <c r="A279" s="171"/>
      <c r="B279" s="171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</row>
    <row r="280" spans="1:25" ht="13.5" customHeight="1">
      <c r="A280" s="171"/>
      <c r="B280" s="171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</row>
    <row r="281" spans="1:25" ht="13.5" customHeight="1">
      <c r="A281" s="171"/>
      <c r="B281" s="171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</row>
    <row r="282" spans="1:25" ht="15.75" customHeight="1">
      <c r="A282" s="171"/>
      <c r="B282" s="171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</row>
    <row r="283" spans="1:25" ht="15.75" customHeight="1">
      <c r="A283" s="171"/>
      <c r="B283" s="171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</row>
    <row r="284" spans="1:25" ht="15.75" customHeight="1">
      <c r="A284" s="171"/>
      <c r="B284" s="171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</row>
    <row r="285" spans="1:25" ht="15.75" customHeight="1">
      <c r="A285" s="171"/>
      <c r="B285" s="171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</row>
    <row r="286" spans="1:25" ht="15.75" customHeight="1">
      <c r="A286" s="171"/>
      <c r="B286" s="171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</row>
    <row r="287" spans="1:25" ht="15.75" customHeight="1">
      <c r="A287" s="171"/>
      <c r="B287" s="171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</row>
    <row r="288" spans="1:25" ht="15.75" customHeight="1">
      <c r="A288" s="171"/>
      <c r="B288" s="171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</row>
    <row r="289" spans="1:25" ht="15.75" customHeight="1">
      <c r="A289" s="171"/>
      <c r="B289" s="171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</row>
    <row r="290" spans="1:25" ht="15.75" customHeight="1">
      <c r="A290" s="171"/>
      <c r="B290" s="171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</row>
    <row r="291" spans="1:25" ht="15.75" customHeight="1">
      <c r="A291" s="171"/>
      <c r="B291" s="171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</row>
    <row r="292" spans="1:25" ht="15.75" customHeight="1">
      <c r="A292" s="171"/>
      <c r="B292" s="171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</row>
    <row r="293" spans="1:25" ht="15.75" customHeight="1">
      <c r="A293" s="171"/>
      <c r="B293" s="171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</row>
    <row r="294" spans="1:25" ht="15.75" customHeight="1">
      <c r="A294" s="171"/>
      <c r="B294" s="171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</row>
    <row r="295" spans="1:25" ht="15.75" customHeight="1">
      <c r="A295" s="171"/>
      <c r="B295" s="171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</row>
    <row r="296" spans="1:25" ht="15.75" customHeight="1">
      <c r="A296" s="171"/>
      <c r="B296" s="171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</row>
    <row r="297" spans="1:25" ht="15.75" customHeight="1">
      <c r="A297" s="171"/>
      <c r="B297" s="171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</row>
    <row r="298" spans="1:25" ht="15.75" customHeight="1">
      <c r="A298" s="171"/>
      <c r="B298" s="171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</row>
    <row r="299" spans="1:25" ht="15.75" customHeight="1">
      <c r="A299" s="171"/>
      <c r="B299" s="171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</row>
    <row r="300" spans="1:25" ht="15.75" customHeight="1">
      <c r="A300" s="171"/>
      <c r="B300" s="171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</row>
    <row r="301" spans="1:25" ht="15.75" customHeight="1">
      <c r="A301" s="171"/>
      <c r="B301" s="171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</row>
    <row r="302" spans="1:25" ht="15.75" customHeight="1">
      <c r="A302" s="171"/>
      <c r="B302" s="171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</row>
    <row r="303" spans="1:25" ht="15.75" customHeight="1">
      <c r="A303" s="171"/>
      <c r="B303" s="171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</row>
    <row r="304" spans="1:25" ht="15.75" customHeight="1">
      <c r="A304" s="171"/>
      <c r="B304" s="171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</row>
    <row r="305" spans="1:25" ht="15.75" customHeight="1">
      <c r="A305" s="171"/>
      <c r="B305" s="171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</row>
    <row r="306" spans="1:25" ht="15.75" customHeight="1">
      <c r="A306" s="171"/>
      <c r="B306" s="171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</row>
    <row r="307" spans="1:25" ht="15.75" customHeight="1">
      <c r="A307" s="171"/>
      <c r="B307" s="171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</row>
    <row r="308" spans="1:25" ht="15.75" customHeight="1">
      <c r="A308" s="171"/>
      <c r="B308" s="171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</row>
    <row r="309" spans="1:25" ht="15.75" customHeight="1">
      <c r="A309" s="171"/>
      <c r="B309" s="171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</row>
    <row r="310" spans="1:25" ht="15.75" customHeight="1">
      <c r="A310" s="171"/>
      <c r="B310" s="171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</row>
    <row r="311" spans="1:25" ht="15.75" customHeight="1">
      <c r="A311" s="171"/>
      <c r="B311" s="171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</row>
    <row r="312" spans="1:25" ht="15.75" customHeight="1">
      <c r="A312" s="171"/>
      <c r="B312" s="171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</row>
    <row r="313" spans="1:25" ht="15.75" customHeight="1">
      <c r="A313" s="171"/>
      <c r="B313" s="171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</row>
    <row r="314" spans="1:25" ht="15.75" customHeight="1">
      <c r="A314" s="171"/>
      <c r="B314" s="171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</row>
    <row r="315" spans="1:25" ht="15.75" customHeight="1">
      <c r="A315" s="171"/>
      <c r="B315" s="171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</row>
    <row r="316" spans="1:25" ht="15.75" customHeight="1">
      <c r="A316" s="171"/>
      <c r="B316" s="171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</row>
    <row r="317" spans="1:25" ht="15.75" customHeight="1">
      <c r="A317" s="171"/>
      <c r="B317" s="171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</row>
    <row r="318" spans="1:25" ht="15.75" customHeight="1">
      <c r="A318" s="171"/>
      <c r="B318" s="171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</row>
    <row r="319" spans="1:25" ht="15.75" customHeight="1">
      <c r="A319" s="171"/>
      <c r="B319" s="171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</row>
    <row r="320" spans="1:25" ht="15.75" customHeight="1">
      <c r="A320" s="171"/>
      <c r="B320" s="171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</row>
    <row r="321" spans="1:25" ht="15.75" customHeight="1">
      <c r="A321" s="171"/>
      <c r="B321" s="171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</row>
    <row r="322" spans="1:25" ht="15.75" customHeight="1">
      <c r="A322" s="171"/>
      <c r="B322" s="171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</row>
    <row r="323" spans="1:25" ht="15.75" customHeight="1">
      <c r="A323" s="171"/>
      <c r="B323" s="171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</row>
    <row r="324" spans="1:25" ht="15.75" customHeight="1">
      <c r="A324" s="171"/>
      <c r="B324" s="171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</row>
    <row r="325" spans="1:25" ht="15.75" customHeight="1">
      <c r="A325" s="171"/>
      <c r="B325" s="171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</row>
    <row r="326" spans="1:25" ht="15.75" customHeight="1">
      <c r="A326" s="171"/>
      <c r="B326" s="171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</row>
    <row r="327" spans="1:25" ht="15.75" customHeight="1">
      <c r="A327" s="171"/>
      <c r="B327" s="171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</row>
    <row r="328" spans="1:25" ht="15.75" customHeight="1">
      <c r="A328" s="171"/>
      <c r="B328" s="171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</row>
    <row r="329" spans="1:25" ht="15.75" customHeight="1">
      <c r="A329" s="171"/>
      <c r="B329" s="171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</row>
    <row r="330" spans="1:25" ht="15.75" customHeight="1">
      <c r="A330" s="171"/>
      <c r="B330" s="171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</row>
    <row r="331" spans="1:25" ht="15.75" customHeight="1">
      <c r="A331" s="171"/>
      <c r="B331" s="171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</row>
    <row r="332" spans="1:25" ht="15.75" customHeight="1">
      <c r="A332" s="171"/>
      <c r="B332" s="171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</row>
    <row r="333" spans="1:25" ht="15.75" customHeight="1">
      <c r="A333" s="171"/>
      <c r="B333" s="171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</row>
    <row r="334" spans="1:25" ht="15.75" customHeight="1">
      <c r="A334" s="171"/>
      <c r="B334" s="171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</row>
    <row r="335" spans="1:25" ht="15.75" customHeight="1">
      <c r="A335" s="171"/>
      <c r="B335" s="171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</row>
    <row r="336" spans="1:25" ht="15.75" customHeight="1">
      <c r="A336" s="171"/>
      <c r="B336" s="171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</row>
    <row r="337" spans="1:25" ht="15.75" customHeight="1">
      <c r="A337" s="171"/>
      <c r="B337" s="171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</row>
    <row r="338" spans="1:25" ht="15.75" customHeight="1">
      <c r="A338" s="171"/>
      <c r="B338" s="171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</row>
    <row r="339" spans="1:25" ht="15.75" customHeight="1">
      <c r="A339" s="171"/>
      <c r="B339" s="171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</row>
    <row r="340" spans="1:25" ht="15.75" customHeight="1">
      <c r="A340" s="171"/>
      <c r="B340" s="171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</row>
    <row r="341" spans="1:25" ht="15.75" customHeight="1">
      <c r="A341" s="171"/>
      <c r="B341" s="171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</row>
    <row r="342" spans="1:25" ht="15.75" customHeight="1">
      <c r="A342" s="171"/>
      <c r="B342" s="171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</row>
    <row r="343" spans="1:25" ht="15.75" customHeight="1">
      <c r="A343" s="171"/>
      <c r="B343" s="171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</row>
    <row r="344" spans="1:25" ht="15.75" customHeight="1">
      <c r="A344" s="171"/>
      <c r="B344" s="171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</row>
    <row r="345" spans="1:25" ht="15.75" customHeight="1">
      <c r="A345" s="171"/>
      <c r="B345" s="171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</row>
    <row r="346" spans="1:25" ht="15.75" customHeight="1">
      <c r="A346" s="171"/>
      <c r="B346" s="171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</row>
    <row r="347" spans="1:25" ht="15.75" customHeight="1">
      <c r="A347" s="171"/>
      <c r="B347" s="171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</row>
    <row r="348" spans="1:25" ht="15.75" customHeight="1">
      <c r="A348" s="171"/>
      <c r="B348" s="171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</row>
    <row r="349" spans="1:25" ht="15.75" customHeight="1">
      <c r="A349" s="171"/>
      <c r="B349" s="171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</row>
    <row r="350" spans="1:25" ht="15.75" customHeight="1">
      <c r="A350" s="171"/>
      <c r="B350" s="171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</row>
    <row r="351" spans="1:25" ht="15.75" customHeight="1">
      <c r="A351" s="171"/>
      <c r="B351" s="171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</row>
    <row r="352" spans="1:25" ht="15.75" customHeight="1">
      <c r="A352" s="171"/>
      <c r="B352" s="171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</row>
    <row r="353" spans="1:25" ht="15.75" customHeight="1">
      <c r="A353" s="171"/>
      <c r="B353" s="171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</row>
    <row r="354" spans="1:25" ht="15.75" customHeight="1">
      <c r="A354" s="171"/>
      <c r="B354" s="171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</row>
    <row r="355" spans="1:25" ht="15.75" customHeight="1">
      <c r="A355" s="171"/>
      <c r="B355" s="171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</row>
    <row r="356" spans="1:25" ht="15.75" customHeight="1">
      <c r="A356" s="171"/>
      <c r="B356" s="171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</row>
    <row r="357" spans="1:25" ht="15.75" customHeight="1">
      <c r="A357" s="171"/>
      <c r="B357" s="171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</row>
    <row r="358" spans="1:25" ht="15.75" customHeight="1">
      <c r="A358" s="171"/>
      <c r="B358" s="171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</row>
    <row r="359" spans="1:25" ht="15.75" customHeight="1">
      <c r="A359" s="171"/>
      <c r="B359" s="171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</row>
    <row r="360" spans="1:25" ht="15.75" customHeight="1">
      <c r="A360" s="171"/>
      <c r="B360" s="171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</row>
    <row r="361" spans="1:25" ht="15.75" customHeight="1">
      <c r="A361" s="171"/>
      <c r="B361" s="171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</row>
    <row r="362" spans="1:25" ht="15.75" customHeight="1">
      <c r="A362" s="171"/>
      <c r="B362" s="171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</row>
    <row r="363" spans="1:25" ht="15.75" customHeight="1">
      <c r="A363" s="171"/>
      <c r="B363" s="171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</row>
    <row r="364" spans="1:25" ht="15.75" customHeight="1">
      <c r="A364" s="171"/>
      <c r="B364" s="171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</row>
    <row r="365" spans="1:25" ht="15.75" customHeight="1">
      <c r="A365" s="171"/>
      <c r="B365" s="171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</row>
    <row r="366" spans="1:25" ht="15.75" customHeight="1">
      <c r="A366" s="171"/>
      <c r="B366" s="171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</row>
    <row r="367" spans="1:25" ht="15.75" customHeight="1">
      <c r="A367" s="171"/>
      <c r="B367" s="171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</row>
    <row r="368" spans="1:25" ht="15.75" customHeight="1">
      <c r="A368" s="171"/>
      <c r="B368" s="171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</row>
    <row r="369" spans="1:25" ht="15.75" customHeight="1">
      <c r="A369" s="171"/>
      <c r="B369" s="171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</row>
    <row r="370" spans="1:25" ht="15.75" customHeight="1">
      <c r="A370" s="171"/>
      <c r="B370" s="171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</row>
    <row r="371" spans="1:25" ht="15.75" customHeight="1">
      <c r="A371" s="171"/>
      <c r="B371" s="171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</row>
    <row r="372" spans="1:25" ht="15.75" customHeight="1">
      <c r="A372" s="171"/>
      <c r="B372" s="171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</row>
    <row r="373" spans="1:25" ht="15.75" customHeight="1">
      <c r="A373" s="171"/>
      <c r="B373" s="171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</row>
    <row r="374" spans="1:25" ht="15.75" customHeight="1">
      <c r="A374" s="171"/>
      <c r="B374" s="171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</row>
    <row r="375" spans="1:25" ht="15.75" customHeight="1">
      <c r="A375" s="171"/>
      <c r="B375" s="171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</row>
    <row r="376" spans="1:25" ht="15.75" customHeight="1">
      <c r="A376" s="171"/>
      <c r="B376" s="171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</row>
    <row r="377" spans="1:25" ht="15.75" customHeight="1">
      <c r="A377" s="171"/>
      <c r="B377" s="171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</row>
    <row r="378" spans="1:25" ht="15.75" customHeight="1">
      <c r="A378" s="171"/>
      <c r="B378" s="171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</row>
    <row r="379" spans="1:25" ht="15.75" customHeight="1">
      <c r="A379" s="171"/>
      <c r="B379" s="171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</row>
    <row r="380" spans="1:25" ht="15.75" customHeight="1">
      <c r="A380" s="171"/>
      <c r="B380" s="171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</row>
    <row r="381" spans="1:25" ht="15.75" customHeight="1">
      <c r="A381" s="171"/>
      <c r="B381" s="171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</row>
    <row r="382" spans="1:25" ht="15.75" customHeight="1">
      <c r="A382" s="171"/>
      <c r="B382" s="171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</row>
    <row r="383" spans="1:25" ht="15.75" customHeight="1">
      <c r="A383" s="171"/>
      <c r="B383" s="171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</row>
    <row r="384" spans="1:25" ht="15.75" customHeight="1">
      <c r="A384" s="171"/>
      <c r="B384" s="171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</row>
    <row r="385" spans="1:25" ht="15.75" customHeight="1">
      <c r="A385" s="171"/>
      <c r="B385" s="171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</row>
    <row r="386" spans="1:25" ht="15.75" customHeight="1">
      <c r="A386" s="171"/>
      <c r="B386" s="171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</row>
    <row r="387" spans="1:25" ht="15.75" customHeight="1">
      <c r="A387" s="171"/>
      <c r="B387" s="171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</row>
    <row r="388" spans="1:25" ht="15.75" customHeight="1">
      <c r="A388" s="171"/>
      <c r="B388" s="171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</row>
    <row r="389" spans="1:25" ht="15.75" customHeight="1">
      <c r="A389" s="171"/>
      <c r="B389" s="171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</row>
    <row r="390" spans="1:25" ht="15.75" customHeight="1">
      <c r="A390" s="171"/>
      <c r="B390" s="171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</row>
    <row r="391" spans="1:25" ht="15.75" customHeight="1">
      <c r="A391" s="171"/>
      <c r="B391" s="171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</row>
    <row r="392" spans="1:25" ht="15.75" customHeight="1">
      <c r="A392" s="171"/>
      <c r="B392" s="171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</row>
    <row r="393" spans="1:25" ht="15.75" customHeight="1">
      <c r="A393" s="171"/>
      <c r="B393" s="171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</row>
    <row r="394" spans="1:25" ht="15.75" customHeight="1">
      <c r="A394" s="171"/>
      <c r="B394" s="171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</row>
    <row r="395" spans="1:25" ht="15.75" customHeight="1">
      <c r="A395" s="171"/>
      <c r="B395" s="171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</row>
    <row r="396" spans="1:25" ht="15.75" customHeight="1">
      <c r="A396" s="171"/>
      <c r="B396" s="171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</row>
    <row r="397" spans="1:25" ht="15.75" customHeight="1">
      <c r="A397" s="171"/>
      <c r="B397" s="171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</row>
    <row r="398" spans="1:25" ht="15.75" customHeight="1">
      <c r="A398" s="171"/>
      <c r="B398" s="171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</row>
    <row r="399" spans="1:25" ht="15.75" customHeight="1">
      <c r="A399" s="171"/>
      <c r="B399" s="171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</row>
    <row r="400" spans="1:25" ht="15.75" customHeight="1">
      <c r="A400" s="171"/>
      <c r="B400" s="171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</row>
    <row r="401" spans="1:25" ht="15.75" customHeight="1">
      <c r="A401" s="171"/>
      <c r="B401" s="171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</row>
    <row r="402" spans="1:25" ht="15.75" customHeight="1">
      <c r="A402" s="171"/>
      <c r="B402" s="171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</row>
    <row r="403" spans="1:25" ht="15.75" customHeight="1">
      <c r="A403" s="171"/>
      <c r="B403" s="171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</row>
    <row r="404" spans="1:25" ht="15.75" customHeight="1">
      <c r="A404" s="171"/>
      <c r="B404" s="171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</row>
    <row r="405" spans="1:25" ht="15.75" customHeight="1">
      <c r="A405" s="171"/>
      <c r="B405" s="171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</row>
    <row r="406" spans="1:25" ht="15.75" customHeight="1">
      <c r="A406" s="171"/>
      <c r="B406" s="171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</row>
    <row r="407" spans="1:25" ht="15.75" customHeight="1">
      <c r="A407" s="171"/>
      <c r="B407" s="171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</row>
    <row r="408" spans="1:25" ht="15.75" customHeight="1">
      <c r="A408" s="171"/>
      <c r="B408" s="171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</row>
    <row r="409" spans="1:25" ht="15.75" customHeight="1">
      <c r="A409" s="171"/>
      <c r="B409" s="171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</row>
    <row r="410" spans="1:25" ht="15.75" customHeight="1">
      <c r="A410" s="171"/>
      <c r="B410" s="171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</row>
    <row r="411" spans="1:25" ht="15.75" customHeight="1">
      <c r="A411" s="171"/>
      <c r="B411" s="171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</row>
    <row r="412" spans="1:25" ht="15.75" customHeight="1">
      <c r="A412" s="171"/>
      <c r="B412" s="171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</row>
    <row r="413" spans="1:25" ht="15.75" customHeight="1">
      <c r="A413" s="171"/>
      <c r="B413" s="171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</row>
    <row r="414" spans="1:25" ht="15.75" customHeight="1">
      <c r="A414" s="171"/>
      <c r="B414" s="171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</row>
    <row r="415" spans="1:25" ht="15.75" customHeight="1">
      <c r="A415" s="171"/>
      <c r="B415" s="171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</row>
    <row r="416" spans="1:25" ht="15.75" customHeight="1">
      <c r="A416" s="171"/>
      <c r="B416" s="171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</row>
    <row r="417" spans="1:25" ht="15.75" customHeight="1">
      <c r="A417" s="171"/>
      <c r="B417" s="171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</row>
    <row r="418" spans="1:25" ht="15.75" customHeight="1">
      <c r="A418" s="171"/>
      <c r="B418" s="171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</row>
    <row r="419" spans="1:25" ht="15.75" customHeight="1">
      <c r="A419" s="171"/>
      <c r="B419" s="171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</row>
    <row r="420" spans="1:25" ht="15.75" customHeight="1">
      <c r="A420" s="171"/>
      <c r="B420" s="171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</row>
    <row r="421" spans="1:25" ht="15.75" customHeight="1">
      <c r="A421" s="171"/>
      <c r="B421" s="171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</row>
    <row r="422" spans="1:25" ht="15.75" customHeight="1">
      <c r="A422" s="171"/>
      <c r="B422" s="171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</row>
    <row r="423" spans="1:25" ht="15.75" customHeight="1">
      <c r="A423" s="171"/>
      <c r="B423" s="171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</row>
    <row r="424" spans="1:25" ht="15.75" customHeight="1">
      <c r="A424" s="171"/>
      <c r="B424" s="171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</row>
    <row r="425" spans="1:25" ht="15.75" customHeight="1">
      <c r="A425" s="171"/>
      <c r="B425" s="171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</row>
    <row r="426" spans="1:25" ht="15.75" customHeight="1">
      <c r="A426" s="171"/>
      <c r="B426" s="171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</row>
    <row r="427" spans="1:25" ht="15.75" customHeight="1">
      <c r="A427" s="171"/>
      <c r="B427" s="171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</row>
    <row r="428" spans="1:25" ht="15.75" customHeight="1">
      <c r="A428" s="171"/>
      <c r="B428" s="171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</row>
    <row r="429" spans="1:25" ht="15.75" customHeight="1">
      <c r="A429" s="171"/>
      <c r="B429" s="171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</row>
    <row r="430" spans="1:25" ht="15.75" customHeight="1">
      <c r="A430" s="171"/>
      <c r="B430" s="171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</row>
    <row r="431" spans="1:25" ht="15.75" customHeight="1">
      <c r="A431" s="171"/>
      <c r="B431" s="171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</row>
    <row r="432" spans="1:25" ht="15.75" customHeight="1">
      <c r="A432" s="171"/>
      <c r="B432" s="171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</row>
    <row r="433" spans="1:25" ht="15.75" customHeight="1">
      <c r="A433" s="171"/>
      <c r="B433" s="171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</row>
    <row r="434" spans="1:25" ht="15.75" customHeight="1">
      <c r="A434" s="171"/>
      <c r="B434" s="171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</row>
    <row r="435" spans="1:25" ht="15.75" customHeight="1">
      <c r="A435" s="171"/>
      <c r="B435" s="171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</row>
    <row r="436" spans="1:25" ht="15.75" customHeight="1">
      <c r="A436" s="171"/>
      <c r="B436" s="171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</row>
    <row r="437" spans="1:25" ht="15.75" customHeight="1">
      <c r="A437" s="171"/>
      <c r="B437" s="171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</row>
    <row r="438" spans="1:25" ht="15.75" customHeight="1">
      <c r="A438" s="171"/>
      <c r="B438" s="171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</row>
    <row r="439" spans="1:25" ht="15.75" customHeight="1">
      <c r="A439" s="171"/>
      <c r="B439" s="171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</row>
    <row r="440" spans="1:25" ht="15.75" customHeight="1">
      <c r="A440" s="171"/>
      <c r="B440" s="171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</row>
    <row r="441" spans="1:25" ht="15.75" customHeight="1">
      <c r="A441" s="171"/>
      <c r="B441" s="171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</row>
    <row r="442" spans="1:25" ht="15.75" customHeight="1">
      <c r="A442" s="171"/>
      <c r="B442" s="171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</row>
    <row r="443" spans="1:25" ht="15.75" customHeight="1">
      <c r="A443" s="171"/>
      <c r="B443" s="171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</row>
    <row r="444" spans="1:25" ht="15.75" customHeight="1">
      <c r="A444" s="171"/>
      <c r="B444" s="171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</row>
    <row r="445" spans="1:25" ht="15.75" customHeight="1">
      <c r="A445" s="171"/>
      <c r="B445" s="171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</row>
    <row r="446" spans="1:25" ht="15.75" customHeight="1">
      <c r="A446" s="171"/>
      <c r="B446" s="171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</row>
    <row r="447" spans="1:25" ht="15.75" customHeight="1">
      <c r="A447" s="171"/>
      <c r="B447" s="171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</row>
    <row r="448" spans="1:25" ht="15.75" customHeight="1">
      <c r="A448" s="171"/>
      <c r="B448" s="171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</row>
    <row r="449" spans="1:25" ht="15.75" customHeight="1">
      <c r="A449" s="171"/>
      <c r="B449" s="171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</row>
    <row r="450" spans="1:25" ht="15.75" customHeight="1">
      <c r="A450" s="171"/>
      <c r="B450" s="171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</row>
    <row r="451" spans="1:25" ht="15.75" customHeight="1">
      <c r="A451" s="171"/>
      <c r="B451" s="171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</row>
    <row r="452" spans="1:25" ht="15.75" customHeight="1">
      <c r="A452" s="171"/>
      <c r="B452" s="171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</row>
    <row r="453" spans="1:25" ht="15.75" customHeight="1">
      <c r="A453" s="171"/>
      <c r="B453" s="171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</row>
    <row r="454" spans="1:25" ht="15.75" customHeight="1">
      <c r="A454" s="171"/>
      <c r="B454" s="171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</row>
    <row r="455" spans="1:25" ht="15.75" customHeight="1">
      <c r="A455" s="171"/>
      <c r="B455" s="171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</row>
    <row r="456" spans="1:25" ht="15.75" customHeight="1">
      <c r="A456" s="171"/>
      <c r="B456" s="171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</row>
    <row r="457" spans="1:25" ht="15.75" customHeight="1">
      <c r="A457" s="171"/>
      <c r="B457" s="171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</row>
    <row r="458" spans="1:25" ht="15.75" customHeight="1">
      <c r="A458" s="171"/>
      <c r="B458" s="171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</row>
    <row r="459" spans="1:25" ht="15.75" customHeight="1">
      <c r="A459" s="171"/>
      <c r="B459" s="171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</row>
    <row r="460" spans="1:25" ht="15.75" customHeight="1">
      <c r="A460" s="171"/>
      <c r="B460" s="171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</row>
    <row r="461" spans="1:25" ht="15.75" customHeight="1">
      <c r="A461" s="171"/>
      <c r="B461" s="171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</row>
    <row r="462" spans="1:25" ht="15.75" customHeight="1">
      <c r="A462" s="171"/>
      <c r="B462" s="171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</row>
    <row r="463" spans="1:25" ht="15.75" customHeight="1">
      <c r="A463" s="171"/>
      <c r="B463" s="171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</row>
    <row r="464" spans="1:25" ht="15.75" customHeight="1">
      <c r="A464" s="171"/>
      <c r="B464" s="171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</row>
    <row r="465" spans="1:25" ht="15.75" customHeight="1">
      <c r="A465" s="171"/>
      <c r="B465" s="171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</row>
    <row r="466" spans="1:25" ht="15.75" customHeight="1">
      <c r="A466" s="171"/>
      <c r="B466" s="171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</row>
    <row r="467" spans="1:25" ht="15.75" customHeight="1">
      <c r="A467" s="171"/>
      <c r="B467" s="171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</row>
    <row r="468" spans="1:25" ht="15.75" customHeight="1">
      <c r="A468" s="171"/>
      <c r="B468" s="171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</row>
    <row r="469" spans="1:25" ht="15.75" customHeight="1">
      <c r="A469" s="171"/>
      <c r="B469" s="171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</row>
    <row r="470" spans="1:25" ht="15.75" customHeight="1">
      <c r="A470" s="171"/>
      <c r="B470" s="171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</row>
    <row r="471" spans="1:25" ht="15.75" customHeight="1">
      <c r="A471" s="171"/>
      <c r="B471" s="171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</row>
    <row r="472" spans="1:25" ht="15.75" customHeight="1">
      <c r="A472" s="171"/>
      <c r="B472" s="171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</row>
    <row r="473" spans="1:25" ht="15.75" customHeight="1">
      <c r="A473" s="171"/>
      <c r="B473" s="171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</row>
    <row r="474" spans="1:25" ht="15.75" customHeight="1">
      <c r="A474" s="171"/>
      <c r="B474" s="171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</row>
    <row r="475" spans="1:25" ht="15.75" customHeight="1">
      <c r="A475" s="171"/>
      <c r="B475" s="171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</row>
    <row r="476" spans="1:25" ht="15.75" customHeight="1">
      <c r="A476" s="171"/>
      <c r="B476" s="171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</row>
    <row r="477" spans="1:25" ht="15.75" customHeight="1">
      <c r="A477" s="171"/>
      <c r="B477" s="171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</row>
    <row r="478" spans="1:25" ht="15.75" customHeight="1">
      <c r="A478" s="171"/>
      <c r="B478" s="171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</row>
    <row r="479" spans="1:25" ht="15.75" customHeight="1">
      <c r="A479" s="171"/>
      <c r="B479" s="171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</row>
    <row r="480" spans="1:25" ht="15.75" customHeight="1">
      <c r="A480" s="171"/>
      <c r="B480" s="171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</row>
    <row r="481" spans="1:25" ht="15.75" customHeight="1">
      <c r="A481" s="171"/>
      <c r="B481" s="171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</row>
    <row r="482" spans="1:25" ht="15.75" customHeight="1">
      <c r="A482" s="171"/>
      <c r="B482" s="171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</row>
    <row r="483" spans="1:25" ht="15.75" customHeight="1">
      <c r="A483" s="171"/>
      <c r="B483" s="171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</row>
    <row r="484" spans="1:25" ht="15.75" customHeight="1">
      <c r="A484" s="171"/>
      <c r="B484" s="171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</row>
    <row r="485" spans="1:25" ht="15.75" customHeight="1">
      <c r="A485" s="171"/>
      <c r="B485" s="171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</row>
    <row r="486" spans="1:25" ht="15.75" customHeight="1">
      <c r="A486" s="171"/>
      <c r="B486" s="171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</row>
    <row r="487" spans="1:25" ht="15.75" customHeight="1">
      <c r="A487" s="171"/>
      <c r="B487" s="171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</row>
    <row r="488" spans="1:25" ht="15.75" customHeight="1">
      <c r="A488" s="171"/>
      <c r="B488" s="171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</row>
    <row r="489" spans="1:25" ht="15.75" customHeight="1">
      <c r="A489" s="171"/>
      <c r="B489" s="171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</row>
    <row r="490" spans="1:25" ht="15.75" customHeight="1">
      <c r="A490" s="171"/>
      <c r="B490" s="171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</row>
    <row r="491" spans="1:25" ht="15.75" customHeight="1">
      <c r="A491" s="171"/>
      <c r="B491" s="171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</row>
    <row r="492" spans="1:25" ht="15.75" customHeight="1">
      <c r="A492" s="171"/>
      <c r="B492" s="171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</row>
    <row r="493" spans="1:25" ht="15.75" customHeight="1">
      <c r="A493" s="171"/>
      <c r="B493" s="171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</row>
    <row r="494" spans="1:25" ht="15.75" customHeight="1">
      <c r="A494" s="171"/>
      <c r="B494" s="171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</row>
    <row r="495" spans="1:25" ht="15.75" customHeight="1">
      <c r="A495" s="171"/>
      <c r="B495" s="171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</row>
    <row r="496" spans="1:25" ht="15.75" customHeight="1">
      <c r="A496" s="171"/>
      <c r="B496" s="171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</row>
    <row r="497" spans="1:25" ht="15.75" customHeight="1">
      <c r="A497" s="171"/>
      <c r="B497" s="171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</row>
    <row r="498" spans="1:25" ht="15.75" customHeight="1">
      <c r="A498" s="171"/>
      <c r="B498" s="171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</row>
    <row r="499" spans="1:25" ht="15.75" customHeight="1">
      <c r="A499" s="171"/>
      <c r="B499" s="171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</row>
    <row r="500" spans="1:25" ht="15.75" customHeight="1">
      <c r="A500" s="171"/>
      <c r="B500" s="171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</row>
    <row r="501" spans="1:25" ht="15.75" customHeight="1">
      <c r="A501" s="171"/>
      <c r="B501" s="171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</row>
    <row r="502" spans="1:25" ht="15.75" customHeight="1">
      <c r="A502" s="171"/>
      <c r="B502" s="171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</row>
    <row r="503" spans="1:25" ht="15.75" customHeight="1">
      <c r="A503" s="171"/>
      <c r="B503" s="171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</row>
    <row r="504" spans="1:25" ht="15.75" customHeight="1">
      <c r="A504" s="171"/>
      <c r="B504" s="171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</row>
    <row r="505" spans="1:25" ht="15.75" customHeight="1">
      <c r="A505" s="171"/>
      <c r="B505" s="171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</row>
    <row r="506" spans="1:25" ht="15.75" customHeight="1">
      <c r="A506" s="171"/>
      <c r="B506" s="171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</row>
    <row r="507" spans="1:25" ht="15.75" customHeight="1">
      <c r="A507" s="171"/>
      <c r="B507" s="171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</row>
    <row r="508" spans="1:25" ht="15.75" customHeight="1">
      <c r="A508" s="171"/>
      <c r="B508" s="171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</row>
    <row r="509" spans="1:25" ht="15.75" customHeight="1">
      <c r="A509" s="171"/>
      <c r="B509" s="171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</row>
    <row r="510" spans="1:25" ht="15.75" customHeight="1">
      <c r="A510" s="171"/>
      <c r="B510" s="171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</row>
    <row r="511" spans="1:25" ht="15.75" customHeight="1">
      <c r="A511" s="171"/>
      <c r="B511" s="171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</row>
    <row r="512" spans="1:25" ht="15.75" customHeight="1">
      <c r="A512" s="171"/>
      <c r="B512" s="171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</row>
    <row r="513" spans="1:25" ht="15.75" customHeight="1">
      <c r="A513" s="171"/>
      <c r="B513" s="171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</row>
    <row r="514" spans="1:25" ht="15.75" customHeight="1">
      <c r="A514" s="171"/>
      <c r="B514" s="171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</row>
    <row r="515" spans="1:25" ht="15.75" customHeight="1">
      <c r="A515" s="171"/>
      <c r="B515" s="171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</row>
    <row r="516" spans="1:25" ht="15.75" customHeight="1">
      <c r="A516" s="171"/>
      <c r="B516" s="171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</row>
    <row r="517" spans="1:25" ht="15.75" customHeight="1">
      <c r="A517" s="171"/>
      <c r="B517" s="171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</row>
    <row r="518" spans="1:25" ht="15.75" customHeight="1">
      <c r="A518" s="171"/>
      <c r="B518" s="171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</row>
    <row r="519" spans="1:25" ht="15.75" customHeight="1">
      <c r="A519" s="171"/>
      <c r="B519" s="171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</row>
    <row r="520" spans="1:25" ht="15.75" customHeight="1">
      <c r="A520" s="171"/>
      <c r="B520" s="171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</row>
    <row r="521" spans="1:25" ht="15.75" customHeight="1">
      <c r="A521" s="171"/>
      <c r="B521" s="171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</row>
    <row r="522" spans="1:25" ht="15.75" customHeight="1">
      <c r="A522" s="171"/>
      <c r="B522" s="171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</row>
    <row r="523" spans="1:25" ht="15.75" customHeight="1">
      <c r="A523" s="171"/>
      <c r="B523" s="171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</row>
    <row r="524" spans="1:25" ht="15.75" customHeight="1">
      <c r="A524" s="171"/>
      <c r="B524" s="171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</row>
    <row r="525" spans="1:25" ht="15.75" customHeight="1">
      <c r="A525" s="171"/>
      <c r="B525" s="171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</row>
    <row r="526" spans="1:25" ht="15.75" customHeight="1">
      <c r="A526" s="171"/>
      <c r="B526" s="171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</row>
    <row r="527" spans="1:25" ht="15.75" customHeight="1">
      <c r="A527" s="171"/>
      <c r="B527" s="171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</row>
    <row r="528" spans="1:25" ht="15.75" customHeight="1">
      <c r="A528" s="171"/>
      <c r="B528" s="171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</row>
    <row r="529" spans="1:25" ht="15.75" customHeight="1">
      <c r="A529" s="171"/>
      <c r="B529" s="171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</row>
    <row r="530" spans="1:25" ht="15.75" customHeight="1">
      <c r="A530" s="171"/>
      <c r="B530" s="171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</row>
    <row r="531" spans="1:25" ht="15.75" customHeight="1">
      <c r="A531" s="171"/>
      <c r="B531" s="171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</row>
    <row r="532" spans="1:25" ht="15.75" customHeight="1">
      <c r="A532" s="171"/>
      <c r="B532" s="171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</row>
    <row r="533" spans="1:25" ht="15.75" customHeight="1">
      <c r="A533" s="171"/>
      <c r="B533" s="171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</row>
    <row r="534" spans="1:25" ht="15.75" customHeight="1">
      <c r="A534" s="171"/>
      <c r="B534" s="171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</row>
    <row r="535" spans="1:25" ht="15.75" customHeight="1">
      <c r="A535" s="171"/>
      <c r="B535" s="171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</row>
    <row r="536" spans="1:25" ht="15.75" customHeight="1">
      <c r="A536" s="171"/>
      <c r="B536" s="171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</row>
    <row r="537" spans="1:25" ht="15.75" customHeight="1">
      <c r="A537" s="171"/>
      <c r="B537" s="171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</row>
    <row r="538" spans="1:25" ht="15.75" customHeight="1">
      <c r="A538" s="171"/>
      <c r="B538" s="171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</row>
    <row r="539" spans="1:25" ht="15.75" customHeight="1">
      <c r="A539" s="171"/>
      <c r="B539" s="171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</row>
    <row r="540" spans="1:25" ht="15.75" customHeight="1">
      <c r="A540" s="171"/>
      <c r="B540" s="171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</row>
    <row r="541" spans="1:25" ht="15.75" customHeight="1">
      <c r="A541" s="171"/>
      <c r="B541" s="171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</row>
    <row r="542" spans="1:25" ht="15.75" customHeight="1">
      <c r="A542" s="171"/>
      <c r="B542" s="171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</row>
    <row r="543" spans="1:25" ht="15.75" customHeight="1">
      <c r="A543" s="171"/>
      <c r="B543" s="171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</row>
    <row r="544" spans="1:25" ht="15.75" customHeight="1">
      <c r="A544" s="171"/>
      <c r="B544" s="171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</row>
    <row r="545" spans="1:25" ht="15.75" customHeight="1">
      <c r="A545" s="171"/>
      <c r="B545" s="171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</row>
    <row r="546" spans="1:25" ht="15.75" customHeight="1">
      <c r="A546" s="171"/>
      <c r="B546" s="171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</row>
    <row r="547" spans="1:25" ht="15.75" customHeight="1">
      <c r="A547" s="171"/>
      <c r="B547" s="171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</row>
    <row r="548" spans="1:25" ht="15.75" customHeight="1">
      <c r="A548" s="171"/>
      <c r="B548" s="171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</row>
    <row r="549" spans="1:25" ht="15.75" customHeight="1">
      <c r="A549" s="171"/>
      <c r="B549" s="171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</row>
    <row r="550" spans="1:25" ht="15.75" customHeight="1">
      <c r="A550" s="171"/>
      <c r="B550" s="171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</row>
    <row r="551" spans="1:25" ht="15.75" customHeight="1">
      <c r="A551" s="171"/>
      <c r="B551" s="171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</row>
    <row r="552" spans="1:25" ht="15.75" customHeight="1">
      <c r="A552" s="171"/>
      <c r="B552" s="171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</row>
    <row r="553" spans="1:25" ht="15.75" customHeight="1">
      <c r="A553" s="171"/>
      <c r="B553" s="171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</row>
    <row r="554" spans="1:25" ht="15.75" customHeight="1">
      <c r="A554" s="171"/>
      <c r="B554" s="171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</row>
    <row r="555" spans="1:25" ht="15.75" customHeight="1">
      <c r="A555" s="171"/>
      <c r="B555" s="171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</row>
    <row r="556" spans="1:25" ht="15.75" customHeight="1">
      <c r="A556" s="171"/>
      <c r="B556" s="171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</row>
    <row r="557" spans="1:25" ht="15.75" customHeight="1">
      <c r="A557" s="171"/>
      <c r="B557" s="171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</row>
    <row r="558" spans="1:25" ht="15.75" customHeight="1">
      <c r="A558" s="171"/>
      <c r="B558" s="171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</row>
    <row r="559" spans="1:25" ht="15.75" customHeight="1">
      <c r="A559" s="171"/>
      <c r="B559" s="171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</row>
    <row r="560" spans="1:25" ht="15.75" customHeight="1">
      <c r="A560" s="171"/>
      <c r="B560" s="171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</row>
    <row r="561" spans="1:25" ht="15.75" customHeight="1">
      <c r="A561" s="171"/>
      <c r="B561" s="171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</row>
    <row r="562" spans="1:25" ht="15.75" customHeight="1">
      <c r="A562" s="171"/>
      <c r="B562" s="171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</row>
    <row r="563" spans="1:25" ht="15.75" customHeight="1">
      <c r="A563" s="171"/>
      <c r="B563" s="171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</row>
    <row r="564" spans="1:25" ht="15.75" customHeight="1">
      <c r="A564" s="171"/>
      <c r="B564" s="171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</row>
    <row r="565" spans="1:25" ht="15.75" customHeight="1">
      <c r="A565" s="171"/>
      <c r="B565" s="171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</row>
    <row r="566" spans="1:25" ht="15.75" customHeight="1">
      <c r="A566" s="171"/>
      <c r="B566" s="171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</row>
    <row r="567" spans="1:25" ht="15.75" customHeight="1">
      <c r="A567" s="171"/>
      <c r="B567" s="171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</row>
    <row r="568" spans="1:25" ht="15.75" customHeight="1">
      <c r="A568" s="171"/>
      <c r="B568" s="171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</row>
    <row r="569" spans="1:25" ht="15.75" customHeight="1">
      <c r="A569" s="171"/>
      <c r="B569" s="171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</row>
    <row r="570" spans="1:25" ht="15.75" customHeight="1">
      <c r="A570" s="171"/>
      <c r="B570" s="171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</row>
    <row r="571" spans="1:25" ht="15.75" customHeight="1">
      <c r="A571" s="171"/>
      <c r="B571" s="171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</row>
    <row r="572" spans="1:25" ht="15.75" customHeight="1">
      <c r="A572" s="171"/>
      <c r="B572" s="171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</row>
    <row r="573" spans="1:25" ht="15.75" customHeight="1">
      <c r="A573" s="171"/>
      <c r="B573" s="171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</row>
    <row r="574" spans="1:25" ht="15.75" customHeight="1">
      <c r="A574" s="171"/>
      <c r="B574" s="171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</row>
    <row r="575" spans="1:25" ht="15.75" customHeight="1">
      <c r="A575" s="171"/>
      <c r="B575" s="171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</row>
    <row r="576" spans="1:25" ht="15.75" customHeight="1">
      <c r="A576" s="171"/>
      <c r="B576" s="171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</row>
    <row r="577" spans="1:25" ht="15.75" customHeight="1">
      <c r="A577" s="171"/>
      <c r="B577" s="171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</row>
    <row r="578" spans="1:25" ht="15.75" customHeight="1">
      <c r="A578" s="171"/>
      <c r="B578" s="171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</row>
    <row r="579" spans="1:25" ht="15.75" customHeight="1">
      <c r="A579" s="171"/>
      <c r="B579" s="171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</row>
    <row r="580" spans="1:25" ht="15.75" customHeight="1">
      <c r="A580" s="171"/>
      <c r="B580" s="171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</row>
    <row r="581" spans="1:25" ht="15.75" customHeight="1">
      <c r="A581" s="171"/>
      <c r="B581" s="171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</row>
    <row r="582" spans="1:25" ht="15.75" customHeight="1">
      <c r="A582" s="171"/>
      <c r="B582" s="171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</row>
    <row r="583" spans="1:25" ht="15.75" customHeight="1">
      <c r="A583" s="171"/>
      <c r="B583" s="171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</row>
    <row r="584" spans="1:25" ht="15.75" customHeight="1">
      <c r="A584" s="171"/>
      <c r="B584" s="171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</row>
    <row r="585" spans="1:25" ht="15.75" customHeight="1">
      <c r="A585" s="171"/>
      <c r="B585" s="171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</row>
    <row r="586" spans="1:25" ht="15.75" customHeight="1">
      <c r="A586" s="171"/>
      <c r="B586" s="171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</row>
    <row r="587" spans="1:25" ht="15.75" customHeight="1">
      <c r="A587" s="171"/>
      <c r="B587" s="171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</row>
    <row r="588" spans="1:25" ht="15.75" customHeight="1">
      <c r="A588" s="171"/>
      <c r="B588" s="171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</row>
    <row r="589" spans="1:25" ht="15.75" customHeight="1">
      <c r="A589" s="171"/>
      <c r="B589" s="171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</row>
    <row r="590" spans="1:25" ht="15.75" customHeight="1">
      <c r="A590" s="171"/>
      <c r="B590" s="171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</row>
    <row r="591" spans="1:25" ht="15.75" customHeight="1">
      <c r="A591" s="171"/>
      <c r="B591" s="171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</row>
    <row r="592" spans="1:25" ht="15.75" customHeight="1">
      <c r="A592" s="171"/>
      <c r="B592" s="171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</row>
    <row r="593" spans="1:25" ht="15.75" customHeight="1">
      <c r="A593" s="171"/>
      <c r="B593" s="171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</row>
    <row r="594" spans="1:25" ht="15.75" customHeight="1">
      <c r="A594" s="171"/>
      <c r="B594" s="171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</row>
    <row r="595" spans="1:25" ht="15.75" customHeight="1">
      <c r="A595" s="171"/>
      <c r="B595" s="171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</row>
    <row r="596" spans="1:25" ht="15.75" customHeight="1">
      <c r="A596" s="171"/>
      <c r="B596" s="171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</row>
    <row r="597" spans="1:25" ht="15.75" customHeight="1">
      <c r="A597" s="171"/>
      <c r="B597" s="171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</row>
    <row r="598" spans="1:25" ht="15.75" customHeight="1">
      <c r="A598" s="171"/>
      <c r="B598" s="171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</row>
    <row r="599" spans="1:25" ht="15.75" customHeight="1">
      <c r="A599" s="171"/>
      <c r="B599" s="171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</row>
    <row r="600" spans="1:25" ht="15.75" customHeight="1">
      <c r="A600" s="171"/>
      <c r="B600" s="171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</row>
    <row r="601" spans="1:25" ht="15.75" customHeight="1">
      <c r="A601" s="171"/>
      <c r="B601" s="171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</row>
    <row r="602" spans="1:25" ht="15.75" customHeight="1">
      <c r="A602" s="171"/>
      <c r="B602" s="171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</row>
    <row r="603" spans="1:25" ht="15.75" customHeight="1">
      <c r="A603" s="171"/>
      <c r="B603" s="171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</row>
    <row r="604" spans="1:25" ht="15.75" customHeight="1">
      <c r="A604" s="171"/>
      <c r="B604" s="171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</row>
    <row r="605" spans="1:25" ht="15.75" customHeight="1">
      <c r="A605" s="171"/>
      <c r="B605" s="171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</row>
    <row r="606" spans="1:25" ht="15.75" customHeight="1">
      <c r="A606" s="171"/>
      <c r="B606" s="171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</row>
    <row r="607" spans="1:25" ht="15.75" customHeight="1">
      <c r="A607" s="171"/>
      <c r="B607" s="171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</row>
    <row r="608" spans="1:25" ht="15.75" customHeight="1">
      <c r="A608" s="171"/>
      <c r="B608" s="171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</row>
    <row r="609" spans="1:25" ht="15.75" customHeight="1">
      <c r="A609" s="171"/>
      <c r="B609" s="171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</row>
    <row r="610" spans="1:25" ht="15.75" customHeight="1">
      <c r="A610" s="171"/>
      <c r="B610" s="171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</row>
    <row r="611" spans="1:25" ht="15.75" customHeight="1">
      <c r="A611" s="171"/>
      <c r="B611" s="171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</row>
    <row r="612" spans="1:25" ht="15.75" customHeight="1">
      <c r="A612" s="171"/>
      <c r="B612" s="171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</row>
    <row r="613" spans="1:25" ht="15.75" customHeight="1">
      <c r="A613" s="171"/>
      <c r="B613" s="171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</row>
    <row r="614" spans="1:25" ht="15.75" customHeight="1">
      <c r="A614" s="171"/>
      <c r="B614" s="171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</row>
    <row r="615" spans="1:25" ht="15.75" customHeight="1">
      <c r="A615" s="171"/>
      <c r="B615" s="171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</row>
    <row r="616" spans="1:25" ht="15.75" customHeight="1">
      <c r="A616" s="171"/>
      <c r="B616" s="171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</row>
    <row r="617" spans="1:25" ht="15.75" customHeight="1">
      <c r="A617" s="171"/>
      <c r="B617" s="171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</row>
    <row r="618" spans="1:25" ht="15.75" customHeight="1">
      <c r="A618" s="171"/>
      <c r="B618" s="171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</row>
    <row r="619" spans="1:25" ht="15.75" customHeight="1">
      <c r="A619" s="171"/>
      <c r="B619" s="171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</row>
    <row r="620" spans="1:25" ht="15.75" customHeight="1">
      <c r="A620" s="171"/>
      <c r="B620" s="171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</row>
    <row r="621" spans="1:25" ht="15.75" customHeight="1">
      <c r="A621" s="171"/>
      <c r="B621" s="171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</row>
    <row r="622" spans="1:25" ht="15.75" customHeight="1">
      <c r="A622" s="171"/>
      <c r="B622" s="171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</row>
    <row r="623" spans="1:25" ht="15.75" customHeight="1">
      <c r="A623" s="171"/>
      <c r="B623" s="171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</row>
    <row r="624" spans="1:25" ht="15.75" customHeight="1">
      <c r="A624" s="171"/>
      <c r="B624" s="171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</row>
    <row r="625" spans="1:25" ht="15.75" customHeight="1">
      <c r="A625" s="171"/>
      <c r="B625" s="171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</row>
    <row r="626" spans="1:25" ht="15.75" customHeight="1">
      <c r="A626" s="171"/>
      <c r="B626" s="171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</row>
    <row r="627" spans="1:25" ht="15.75" customHeight="1">
      <c r="A627" s="171"/>
      <c r="B627" s="171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</row>
    <row r="628" spans="1:25" ht="15.75" customHeight="1">
      <c r="A628" s="171"/>
      <c r="B628" s="171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</row>
    <row r="629" spans="1:25" ht="15.75" customHeight="1">
      <c r="A629" s="171"/>
      <c r="B629" s="171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</row>
    <row r="630" spans="1:25" ht="15.75" customHeight="1">
      <c r="A630" s="171"/>
      <c r="B630" s="171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</row>
    <row r="631" spans="1:25" ht="15.75" customHeight="1">
      <c r="A631" s="171"/>
      <c r="B631" s="171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</row>
    <row r="632" spans="1:25" ht="15.75" customHeight="1">
      <c r="A632" s="171"/>
      <c r="B632" s="171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</row>
    <row r="633" spans="1:25" ht="15.75" customHeight="1">
      <c r="A633" s="171"/>
      <c r="B633" s="171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</row>
    <row r="634" spans="1:25" ht="15.75" customHeight="1">
      <c r="A634" s="171"/>
      <c r="B634" s="171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</row>
    <row r="635" spans="1:25" ht="15.75" customHeight="1">
      <c r="A635" s="171"/>
      <c r="B635" s="171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</row>
    <row r="636" spans="1:25" ht="15.75" customHeight="1">
      <c r="A636" s="171"/>
      <c r="B636" s="171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</row>
    <row r="637" spans="1:25" ht="15.75" customHeight="1">
      <c r="A637" s="171"/>
      <c r="B637" s="171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</row>
    <row r="638" spans="1:25" ht="15.75" customHeight="1">
      <c r="A638" s="171"/>
      <c r="B638" s="171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</row>
    <row r="639" spans="1:25" ht="15.75" customHeight="1">
      <c r="A639" s="171"/>
      <c r="B639" s="171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</row>
    <row r="640" spans="1:25" ht="15.75" customHeight="1">
      <c r="A640" s="171"/>
      <c r="B640" s="171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</row>
    <row r="641" spans="1:25" ht="15.75" customHeight="1">
      <c r="A641" s="171"/>
      <c r="B641" s="171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</row>
    <row r="642" spans="1:25" ht="15.75" customHeight="1">
      <c r="A642" s="171"/>
      <c r="B642" s="171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</row>
    <row r="643" spans="1:25" ht="15.75" customHeight="1">
      <c r="A643" s="171"/>
      <c r="B643" s="171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</row>
    <row r="644" spans="1:25" ht="15.75" customHeight="1">
      <c r="A644" s="171"/>
      <c r="B644" s="171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</row>
    <row r="645" spans="1:25" ht="15.75" customHeight="1">
      <c r="A645" s="171"/>
      <c r="B645" s="171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</row>
    <row r="646" spans="1:25" ht="15.75" customHeight="1">
      <c r="A646" s="171"/>
      <c r="B646" s="171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</row>
    <row r="647" spans="1:25" ht="15.75" customHeight="1">
      <c r="A647" s="171"/>
      <c r="B647" s="171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</row>
    <row r="648" spans="1:25" ht="15.75" customHeight="1">
      <c r="A648" s="171"/>
      <c r="B648" s="171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</row>
    <row r="649" spans="1:25" ht="15.75" customHeight="1">
      <c r="A649" s="171"/>
      <c r="B649" s="171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</row>
    <row r="650" spans="1:25" ht="15.75" customHeight="1">
      <c r="A650" s="171"/>
      <c r="B650" s="171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</row>
    <row r="651" spans="1:25" ht="15.75" customHeight="1">
      <c r="A651" s="171"/>
      <c r="B651" s="171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</row>
    <row r="652" spans="1:25" ht="15.75" customHeight="1">
      <c r="A652" s="171"/>
      <c r="B652" s="171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</row>
    <row r="653" spans="1:25" ht="15.75" customHeight="1">
      <c r="A653" s="171"/>
      <c r="B653" s="171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</row>
    <row r="654" spans="1:25" ht="15.75" customHeight="1">
      <c r="A654" s="171"/>
      <c r="B654" s="171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</row>
    <row r="655" spans="1:25" ht="15.75" customHeight="1">
      <c r="A655" s="171"/>
      <c r="B655" s="171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</row>
    <row r="656" spans="1:25" ht="15.75" customHeight="1">
      <c r="A656" s="171"/>
      <c r="B656" s="171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</row>
    <row r="657" spans="1:25" ht="15.75" customHeight="1">
      <c r="A657" s="171"/>
      <c r="B657" s="171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</row>
    <row r="658" spans="1:25" ht="15.75" customHeight="1">
      <c r="A658" s="171"/>
      <c r="B658" s="171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</row>
    <row r="659" spans="1:25" ht="15.75" customHeight="1">
      <c r="A659" s="171"/>
      <c r="B659" s="171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</row>
    <row r="660" spans="1:25" ht="15.75" customHeight="1">
      <c r="A660" s="171"/>
      <c r="B660" s="171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</row>
    <row r="661" spans="1:25" ht="15.75" customHeight="1">
      <c r="A661" s="171"/>
      <c r="B661" s="171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</row>
    <row r="662" spans="1:25" ht="15.75" customHeight="1">
      <c r="A662" s="171"/>
      <c r="B662" s="171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</row>
    <row r="663" spans="1:25" ht="15.75" customHeight="1">
      <c r="A663" s="171"/>
      <c r="B663" s="171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</row>
    <row r="664" spans="1:25" ht="15.75" customHeight="1">
      <c r="A664" s="171"/>
      <c r="B664" s="171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</row>
    <row r="665" spans="1:25" ht="15.75" customHeight="1">
      <c r="A665" s="171"/>
      <c r="B665" s="171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</row>
    <row r="666" spans="1:25" ht="15.75" customHeight="1">
      <c r="A666" s="171"/>
      <c r="B666" s="171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</row>
    <row r="667" spans="1:25" ht="15.75" customHeight="1">
      <c r="A667" s="171"/>
      <c r="B667" s="171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</row>
    <row r="668" spans="1:25" ht="15.75" customHeight="1">
      <c r="A668" s="171"/>
      <c r="B668" s="171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</row>
    <row r="669" spans="1:25" ht="15.75" customHeight="1">
      <c r="A669" s="171"/>
      <c r="B669" s="171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</row>
    <row r="670" spans="1:25" ht="15.75" customHeight="1">
      <c r="A670" s="171"/>
      <c r="B670" s="171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</row>
    <row r="671" spans="1:25" ht="15.75" customHeight="1">
      <c r="A671" s="171"/>
      <c r="B671" s="171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</row>
    <row r="672" spans="1:25" ht="15.75" customHeight="1">
      <c r="A672" s="171"/>
      <c r="B672" s="171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</row>
    <row r="673" spans="1:25" ht="15.75" customHeight="1">
      <c r="A673" s="171"/>
      <c r="B673" s="171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</row>
    <row r="674" spans="1:25" ht="15.75" customHeight="1">
      <c r="A674" s="171"/>
      <c r="B674" s="171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</row>
    <row r="675" spans="1:25" ht="15.75" customHeight="1">
      <c r="A675" s="171"/>
      <c r="B675" s="171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</row>
    <row r="676" spans="1:25" ht="15.75" customHeight="1">
      <c r="A676" s="171"/>
      <c r="B676" s="171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</row>
    <row r="677" spans="1:25" ht="15.75" customHeight="1">
      <c r="A677" s="171"/>
      <c r="B677" s="171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</row>
    <row r="678" spans="1:25" ht="15.75" customHeight="1">
      <c r="A678" s="171"/>
      <c r="B678" s="171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</row>
    <row r="679" spans="1:25" ht="15.75" customHeight="1">
      <c r="A679" s="171"/>
      <c r="B679" s="171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</row>
    <row r="680" spans="1:25" ht="15.75" customHeight="1">
      <c r="A680" s="171"/>
      <c r="B680" s="171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</row>
    <row r="681" spans="1:25" ht="15.75" customHeight="1">
      <c r="A681" s="171"/>
      <c r="B681" s="171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</row>
    <row r="682" spans="1:25" ht="15.75" customHeight="1">
      <c r="A682" s="171"/>
      <c r="B682" s="171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</row>
    <row r="683" spans="1:25" ht="15.75" customHeight="1">
      <c r="A683" s="171"/>
      <c r="B683" s="171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</row>
    <row r="684" spans="1:25" ht="15.75" customHeight="1">
      <c r="A684" s="171"/>
      <c r="B684" s="171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</row>
    <row r="685" spans="1:25" ht="15.75" customHeight="1">
      <c r="A685" s="171"/>
      <c r="B685" s="171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</row>
    <row r="686" spans="1:25" ht="15.75" customHeight="1">
      <c r="A686" s="171"/>
      <c r="B686" s="171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</row>
    <row r="687" spans="1:25" ht="15.75" customHeight="1">
      <c r="A687" s="171"/>
      <c r="B687" s="171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</row>
    <row r="688" spans="1:25" ht="15.75" customHeight="1">
      <c r="A688" s="171"/>
      <c r="B688" s="171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</row>
    <row r="689" spans="1:25" ht="15.75" customHeight="1">
      <c r="A689" s="171"/>
      <c r="B689" s="171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</row>
    <row r="690" spans="1:25" ht="15.75" customHeight="1">
      <c r="A690" s="171"/>
      <c r="B690" s="171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</row>
    <row r="691" spans="1:25" ht="15.75" customHeight="1">
      <c r="A691" s="171"/>
      <c r="B691" s="171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</row>
    <row r="692" spans="1:25" ht="15.75" customHeight="1">
      <c r="A692" s="171"/>
      <c r="B692" s="171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</row>
    <row r="693" spans="1:25" ht="15.75" customHeight="1">
      <c r="A693" s="171"/>
      <c r="B693" s="171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</row>
    <row r="694" spans="1:25" ht="15.75" customHeight="1">
      <c r="A694" s="171"/>
      <c r="B694" s="171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</row>
    <row r="695" spans="1:25" ht="15.75" customHeight="1">
      <c r="A695" s="171"/>
      <c r="B695" s="171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</row>
    <row r="696" spans="1:25" ht="15.75" customHeight="1">
      <c r="A696" s="171"/>
      <c r="B696" s="171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</row>
    <row r="697" spans="1:25" ht="15.75" customHeight="1">
      <c r="A697" s="171"/>
      <c r="B697" s="171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</row>
    <row r="698" spans="1:25" ht="15.75" customHeight="1">
      <c r="A698" s="171"/>
      <c r="B698" s="171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</row>
    <row r="699" spans="1:25" ht="15.75" customHeight="1">
      <c r="A699" s="171"/>
      <c r="B699" s="171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</row>
    <row r="700" spans="1:25" ht="15.75" customHeight="1">
      <c r="A700" s="171"/>
      <c r="B700" s="171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</row>
    <row r="701" spans="1:25" ht="15.75" customHeight="1">
      <c r="A701" s="171"/>
      <c r="B701" s="171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</row>
    <row r="702" spans="1:25" ht="15.75" customHeight="1">
      <c r="A702" s="171"/>
      <c r="B702" s="171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</row>
    <row r="703" spans="1:25" ht="15.75" customHeight="1">
      <c r="A703" s="171"/>
      <c r="B703" s="171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</row>
    <row r="704" spans="1:25" ht="15.75" customHeight="1">
      <c r="A704" s="171"/>
      <c r="B704" s="171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</row>
    <row r="705" spans="1:25" ht="15.75" customHeight="1">
      <c r="A705" s="171"/>
      <c r="B705" s="171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</row>
    <row r="706" spans="1:25" ht="15.75" customHeight="1">
      <c r="A706" s="171"/>
      <c r="B706" s="171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</row>
    <row r="707" spans="1:25" ht="15.75" customHeight="1">
      <c r="A707" s="171"/>
      <c r="B707" s="171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</row>
    <row r="708" spans="1:25" ht="15.75" customHeight="1">
      <c r="A708" s="171"/>
      <c r="B708" s="171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</row>
    <row r="709" spans="1:25" ht="15.75" customHeight="1">
      <c r="A709" s="171"/>
      <c r="B709" s="171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</row>
    <row r="710" spans="1:25" ht="15.75" customHeight="1">
      <c r="A710" s="171"/>
      <c r="B710" s="171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</row>
    <row r="711" spans="1:25" ht="15.75" customHeight="1">
      <c r="A711" s="171"/>
      <c r="B711" s="171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</row>
    <row r="712" spans="1:25" ht="15.75" customHeight="1">
      <c r="A712" s="171"/>
      <c r="B712" s="171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</row>
    <row r="713" spans="1:25" ht="15.75" customHeight="1">
      <c r="A713" s="171"/>
      <c r="B713" s="171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</row>
    <row r="714" spans="1:25" ht="15.75" customHeight="1">
      <c r="A714" s="171"/>
      <c r="B714" s="171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</row>
    <row r="715" spans="1:25" ht="15.75" customHeight="1">
      <c r="A715" s="171"/>
      <c r="B715" s="171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</row>
    <row r="716" spans="1:25" ht="15.75" customHeight="1">
      <c r="A716" s="171"/>
      <c r="B716" s="171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</row>
    <row r="717" spans="1:25" ht="15.75" customHeight="1">
      <c r="A717" s="171"/>
      <c r="B717" s="171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</row>
    <row r="718" spans="1:25" ht="15.75" customHeight="1">
      <c r="A718" s="171"/>
      <c r="B718" s="171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</row>
    <row r="719" spans="1:25" ht="15.75" customHeight="1">
      <c r="A719" s="171"/>
      <c r="B719" s="171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</row>
    <row r="720" spans="1:25" ht="15.75" customHeight="1">
      <c r="A720" s="171"/>
      <c r="B720" s="171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</row>
    <row r="721" spans="1:25" ht="15.75" customHeight="1">
      <c r="A721" s="171"/>
      <c r="B721" s="171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</row>
    <row r="722" spans="1:25" ht="15.75" customHeight="1">
      <c r="A722" s="171"/>
      <c r="B722" s="171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</row>
    <row r="723" spans="1:25" ht="15.75" customHeight="1">
      <c r="A723" s="171"/>
      <c r="B723" s="171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</row>
    <row r="724" spans="1:25" ht="15.75" customHeight="1">
      <c r="A724" s="171"/>
      <c r="B724" s="171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</row>
    <row r="725" spans="1:25" ht="15.75" customHeight="1">
      <c r="A725" s="171"/>
      <c r="B725" s="171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</row>
    <row r="726" spans="1:25" ht="15.75" customHeight="1">
      <c r="A726" s="171"/>
      <c r="B726" s="171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</row>
    <row r="727" spans="1:25" ht="15.75" customHeight="1">
      <c r="A727" s="171"/>
      <c r="B727" s="171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</row>
    <row r="728" spans="1:25" ht="15.75" customHeight="1">
      <c r="A728" s="171"/>
      <c r="B728" s="171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</row>
    <row r="729" spans="1:25" ht="15.75" customHeight="1">
      <c r="A729" s="171"/>
      <c r="B729" s="171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</row>
    <row r="730" spans="1:25" ht="15.75" customHeight="1">
      <c r="A730" s="171"/>
      <c r="B730" s="171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</row>
    <row r="731" spans="1:25" ht="15.75" customHeight="1">
      <c r="A731" s="171"/>
      <c r="B731" s="171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</row>
    <row r="732" spans="1:25" ht="15.75" customHeight="1">
      <c r="A732" s="171"/>
      <c r="B732" s="171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</row>
    <row r="733" spans="1:25" ht="15.75" customHeight="1">
      <c r="A733" s="171"/>
      <c r="B733" s="171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</row>
    <row r="734" spans="1:25" ht="15.75" customHeight="1">
      <c r="A734" s="171"/>
      <c r="B734" s="171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</row>
    <row r="735" spans="1:25" ht="15.75" customHeight="1">
      <c r="A735" s="171"/>
      <c r="B735" s="171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</row>
    <row r="736" spans="1:25" ht="15.75" customHeight="1">
      <c r="A736" s="171"/>
      <c r="B736" s="171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</row>
    <row r="737" spans="1:25" ht="15.75" customHeight="1">
      <c r="A737" s="171"/>
      <c r="B737" s="171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</row>
    <row r="738" spans="1:25" ht="15.75" customHeight="1">
      <c r="A738" s="171"/>
      <c r="B738" s="171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</row>
    <row r="739" spans="1:25" ht="15.75" customHeight="1">
      <c r="A739" s="171"/>
      <c r="B739" s="171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</row>
    <row r="740" spans="1:25" ht="15.75" customHeight="1">
      <c r="A740" s="171"/>
      <c r="B740" s="171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</row>
    <row r="741" spans="1:25" ht="15.75" customHeight="1">
      <c r="A741" s="171"/>
      <c r="B741" s="171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</row>
    <row r="742" spans="1:25" ht="15.75" customHeight="1">
      <c r="A742" s="171"/>
      <c r="B742" s="171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</row>
    <row r="743" spans="1:25" ht="15.75" customHeight="1">
      <c r="A743" s="171"/>
      <c r="B743" s="171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</row>
    <row r="744" spans="1:25" ht="15.75" customHeight="1">
      <c r="A744" s="171"/>
      <c r="B744" s="171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</row>
    <row r="745" spans="1:25" ht="15.75" customHeight="1">
      <c r="A745" s="171"/>
      <c r="B745" s="171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</row>
    <row r="746" spans="1:25" ht="15.75" customHeight="1">
      <c r="A746" s="171"/>
      <c r="B746" s="171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</row>
    <row r="747" spans="1:25" ht="15.75" customHeight="1">
      <c r="A747" s="171"/>
      <c r="B747" s="171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</row>
    <row r="748" spans="1:25" ht="15.75" customHeight="1">
      <c r="A748" s="171"/>
      <c r="B748" s="171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</row>
    <row r="749" spans="1:25" ht="15.75" customHeight="1">
      <c r="A749" s="171"/>
      <c r="B749" s="171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</row>
    <row r="750" spans="1:25" ht="15.75" customHeight="1">
      <c r="A750" s="171"/>
      <c r="B750" s="171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</row>
    <row r="751" spans="1:25" ht="15.75" customHeight="1">
      <c r="A751" s="171"/>
      <c r="B751" s="171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</row>
    <row r="752" spans="1:25" ht="15.75" customHeight="1">
      <c r="A752" s="171"/>
      <c r="B752" s="171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</row>
    <row r="753" spans="1:25" ht="15.75" customHeight="1">
      <c r="A753" s="171"/>
      <c r="B753" s="171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</row>
    <row r="754" spans="1:25" ht="15.75" customHeight="1">
      <c r="A754" s="171"/>
      <c r="B754" s="171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</row>
    <row r="755" spans="1:25" ht="15.75" customHeight="1">
      <c r="A755" s="171"/>
      <c r="B755" s="171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</row>
    <row r="756" spans="1:25" ht="15.75" customHeight="1">
      <c r="A756" s="171"/>
      <c r="B756" s="171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</row>
    <row r="757" spans="1:25" ht="15.75" customHeight="1">
      <c r="A757" s="171"/>
      <c r="B757" s="171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</row>
    <row r="758" spans="1:25" ht="15.75" customHeight="1">
      <c r="A758" s="171"/>
      <c r="B758" s="171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</row>
    <row r="759" spans="1:25" ht="15.75" customHeight="1">
      <c r="A759" s="171"/>
      <c r="B759" s="171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</row>
    <row r="760" spans="1:25" ht="15.75" customHeight="1">
      <c r="A760" s="171"/>
      <c r="B760" s="171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</row>
    <row r="761" spans="1:25" ht="15.75" customHeight="1">
      <c r="A761" s="171"/>
      <c r="B761" s="171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</row>
    <row r="762" spans="1:25" ht="15.75" customHeight="1">
      <c r="A762" s="171"/>
      <c r="B762" s="171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</row>
    <row r="763" spans="1:25" ht="15.75" customHeight="1">
      <c r="A763" s="171"/>
      <c r="B763" s="171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</row>
    <row r="764" spans="1:25" ht="15.75" customHeight="1">
      <c r="A764" s="171"/>
      <c r="B764" s="171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</row>
    <row r="765" spans="1:25" ht="15.75" customHeight="1">
      <c r="A765" s="171"/>
      <c r="B765" s="171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</row>
    <row r="766" spans="1:25" ht="15.75" customHeight="1">
      <c r="A766" s="171"/>
      <c r="B766" s="171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</row>
    <row r="767" spans="1:25" ht="15.75" customHeight="1">
      <c r="A767" s="171"/>
      <c r="B767" s="171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</row>
    <row r="768" spans="1:25" ht="15.75" customHeight="1">
      <c r="A768" s="171"/>
      <c r="B768" s="171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</row>
    <row r="769" spans="1:25" ht="15.75" customHeight="1">
      <c r="A769" s="171"/>
      <c r="B769" s="171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</row>
    <row r="770" spans="1:25" ht="15.75" customHeight="1">
      <c r="A770" s="171"/>
      <c r="B770" s="171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</row>
    <row r="771" spans="1:25" ht="15.75" customHeight="1">
      <c r="A771" s="171"/>
      <c r="B771" s="171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</row>
    <row r="772" spans="1:25" ht="15.75" customHeight="1">
      <c r="A772" s="171"/>
      <c r="B772" s="171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</row>
    <row r="773" spans="1:25" ht="15.75" customHeight="1">
      <c r="A773" s="171"/>
      <c r="B773" s="171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</row>
    <row r="774" spans="1:25" ht="15.75" customHeight="1">
      <c r="A774" s="171"/>
      <c r="B774" s="171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</row>
    <row r="775" spans="1:25" ht="15.75" customHeight="1">
      <c r="A775" s="171"/>
      <c r="B775" s="171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</row>
    <row r="776" spans="1:25" ht="15.75" customHeight="1">
      <c r="A776" s="171"/>
      <c r="B776" s="171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</row>
    <row r="777" spans="1:25" ht="15.75" customHeight="1">
      <c r="A777" s="171"/>
      <c r="B777" s="171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</row>
    <row r="778" spans="1:25" ht="15.75" customHeight="1">
      <c r="A778" s="171"/>
      <c r="B778" s="171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</row>
    <row r="779" spans="1:25" ht="15.75" customHeight="1">
      <c r="A779" s="171"/>
      <c r="B779" s="171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</row>
    <row r="780" spans="1:25" ht="15.75" customHeight="1">
      <c r="A780" s="171"/>
      <c r="B780" s="171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</row>
    <row r="781" spans="1:25" ht="15.75" customHeight="1">
      <c r="A781" s="171"/>
      <c r="B781" s="171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</row>
    <row r="782" spans="1:25" ht="15.75" customHeight="1">
      <c r="A782" s="171"/>
      <c r="B782" s="171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</row>
    <row r="783" spans="1:25" ht="15.75" customHeight="1">
      <c r="A783" s="171"/>
      <c r="B783" s="171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</row>
    <row r="784" spans="1:25" ht="15.75" customHeight="1">
      <c r="A784" s="171"/>
      <c r="B784" s="171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</row>
    <row r="785" spans="1:25" ht="15.75" customHeight="1">
      <c r="A785" s="171"/>
      <c r="B785" s="171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</row>
    <row r="786" spans="1:25" ht="15.75" customHeight="1">
      <c r="A786" s="171"/>
      <c r="B786" s="171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</row>
    <row r="787" spans="1:25" ht="15.75" customHeight="1">
      <c r="A787" s="171"/>
      <c r="B787" s="171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</row>
    <row r="788" spans="1:25" ht="15.75" customHeight="1">
      <c r="A788" s="171"/>
      <c r="B788" s="171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</row>
    <row r="789" spans="1:25" ht="15.75" customHeight="1">
      <c r="A789" s="171"/>
      <c r="B789" s="171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</row>
    <row r="790" spans="1:25" ht="15.75" customHeight="1">
      <c r="A790" s="171"/>
      <c r="B790" s="171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</row>
    <row r="791" spans="1:25" ht="15.75" customHeight="1">
      <c r="A791" s="171"/>
      <c r="B791" s="171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</row>
    <row r="792" spans="1:25" ht="15.75" customHeight="1">
      <c r="A792" s="171"/>
      <c r="B792" s="171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</row>
    <row r="793" spans="1:25" ht="15.75" customHeight="1">
      <c r="A793" s="171"/>
      <c r="B793" s="171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</row>
    <row r="794" spans="1:25" ht="15.75" customHeight="1">
      <c r="A794" s="171"/>
      <c r="B794" s="171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</row>
    <row r="795" spans="1:25" ht="15.75" customHeight="1">
      <c r="A795" s="171"/>
      <c r="B795" s="171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</row>
    <row r="796" spans="1:25" ht="15.75" customHeight="1">
      <c r="A796" s="171"/>
      <c r="B796" s="171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</row>
    <row r="797" spans="1:25" ht="15.75" customHeight="1">
      <c r="A797" s="171"/>
      <c r="B797" s="171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</row>
    <row r="798" spans="1:25" ht="15.75" customHeight="1">
      <c r="A798" s="171"/>
      <c r="B798" s="171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</row>
    <row r="799" spans="1:25" ht="15.75" customHeight="1">
      <c r="A799" s="171"/>
      <c r="B799" s="171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</row>
    <row r="800" spans="1:25" ht="15.75" customHeight="1">
      <c r="A800" s="171"/>
      <c r="B800" s="171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</row>
    <row r="801" spans="1:25" ht="15.75" customHeight="1">
      <c r="A801" s="171"/>
      <c r="B801" s="171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</row>
    <row r="802" spans="1:25" ht="15.75" customHeight="1">
      <c r="A802" s="171"/>
      <c r="B802" s="171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</row>
    <row r="803" spans="1:25" ht="15.75" customHeight="1">
      <c r="A803" s="171"/>
      <c r="B803" s="171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</row>
    <row r="804" spans="1:25" ht="15.75" customHeight="1">
      <c r="A804" s="171"/>
      <c r="B804" s="171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</row>
    <row r="805" spans="1:25" ht="15.75" customHeight="1">
      <c r="A805" s="171"/>
      <c r="B805" s="171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</row>
    <row r="806" spans="1:25" ht="15.75" customHeight="1">
      <c r="A806" s="171"/>
      <c r="B806" s="171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</row>
    <row r="807" spans="1:25" ht="15.75" customHeight="1">
      <c r="A807" s="171"/>
      <c r="B807" s="171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</row>
    <row r="808" spans="1:25" ht="15.75" customHeight="1">
      <c r="A808" s="171"/>
      <c r="B808" s="171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</row>
    <row r="809" spans="1:25" ht="15.75" customHeight="1">
      <c r="A809" s="171"/>
      <c r="B809" s="171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</row>
    <row r="810" spans="1:25" ht="15.75" customHeight="1">
      <c r="A810" s="171"/>
      <c r="B810" s="171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</row>
    <row r="811" spans="1:25" ht="15.75" customHeight="1">
      <c r="A811" s="171"/>
      <c r="B811" s="171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</row>
    <row r="812" spans="1:25" ht="15.75" customHeight="1">
      <c r="A812" s="171"/>
      <c r="B812" s="171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</row>
    <row r="813" spans="1:25" ht="15.75" customHeight="1">
      <c r="A813" s="171"/>
      <c r="B813" s="171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</row>
    <row r="814" spans="1:25" ht="15.75" customHeight="1">
      <c r="A814" s="171"/>
      <c r="B814" s="171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</row>
    <row r="815" spans="1:25" ht="15.75" customHeight="1">
      <c r="A815" s="171"/>
      <c r="B815" s="171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</row>
    <row r="816" spans="1:25" ht="15.75" customHeight="1">
      <c r="A816" s="171"/>
      <c r="B816" s="171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</row>
    <row r="817" spans="1:25" ht="15.75" customHeight="1">
      <c r="A817" s="171"/>
      <c r="B817" s="171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</row>
    <row r="818" spans="1:25" ht="15.75" customHeight="1">
      <c r="A818" s="171"/>
      <c r="B818" s="171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</row>
    <row r="819" spans="1:25" ht="15.75" customHeight="1">
      <c r="A819" s="171"/>
      <c r="B819" s="171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</row>
    <row r="820" spans="1:25" ht="15.75" customHeight="1">
      <c r="A820" s="171"/>
      <c r="B820" s="171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</row>
    <row r="821" spans="1:25" ht="15.75" customHeight="1">
      <c r="A821" s="171"/>
      <c r="B821" s="171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</row>
    <row r="822" spans="1:25" ht="15.75" customHeight="1">
      <c r="A822" s="171"/>
      <c r="B822" s="171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</row>
    <row r="823" spans="1:25" ht="15.75" customHeight="1">
      <c r="A823" s="171"/>
      <c r="B823" s="171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</row>
    <row r="824" spans="1:25" ht="15.75" customHeight="1">
      <c r="A824" s="171"/>
      <c r="B824" s="171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</row>
    <row r="825" spans="1:25" ht="15.75" customHeight="1">
      <c r="A825" s="171"/>
      <c r="B825" s="171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</row>
    <row r="826" spans="1:25" ht="15.75" customHeight="1">
      <c r="A826" s="171"/>
      <c r="B826" s="171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</row>
    <row r="827" spans="1:25" ht="15.75" customHeight="1">
      <c r="A827" s="171"/>
      <c r="B827" s="171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</row>
    <row r="828" spans="1:25" ht="15.75" customHeight="1">
      <c r="A828" s="171"/>
      <c r="B828" s="171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</row>
    <row r="829" spans="1:25" ht="15.75" customHeight="1">
      <c r="A829" s="171"/>
      <c r="B829" s="171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</row>
    <row r="830" spans="1:25" ht="15.75" customHeight="1">
      <c r="A830" s="171"/>
      <c r="B830" s="171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</row>
    <row r="831" spans="1:25" ht="15.75" customHeight="1">
      <c r="A831" s="171"/>
      <c r="B831" s="171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</row>
    <row r="832" spans="1:25" ht="15.75" customHeight="1">
      <c r="A832" s="171"/>
      <c r="B832" s="171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</row>
    <row r="833" spans="1:25" ht="15.75" customHeight="1">
      <c r="A833" s="171"/>
      <c r="B833" s="171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</row>
    <row r="834" spans="1:25" ht="15.75" customHeight="1">
      <c r="A834" s="171"/>
      <c r="B834" s="171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</row>
    <row r="835" spans="1:25" ht="15.75" customHeight="1">
      <c r="A835" s="171"/>
      <c r="B835" s="171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</row>
    <row r="836" spans="1:25" ht="15.75" customHeight="1">
      <c r="A836" s="171"/>
      <c r="B836" s="171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</row>
    <row r="837" spans="1:25" ht="15.75" customHeight="1">
      <c r="A837" s="171"/>
      <c r="B837" s="171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</row>
    <row r="838" spans="1:25" ht="15.75" customHeight="1">
      <c r="A838" s="171"/>
      <c r="B838" s="171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</row>
    <row r="839" spans="1:25" ht="15.75" customHeight="1">
      <c r="A839" s="171"/>
      <c r="B839" s="171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</row>
    <row r="840" spans="1:25" ht="15.75" customHeight="1">
      <c r="A840" s="171"/>
      <c r="B840" s="171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</row>
    <row r="841" spans="1:25" ht="15.75" customHeight="1">
      <c r="A841" s="171"/>
      <c r="B841" s="171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</row>
    <row r="842" spans="1:25" ht="15.75" customHeight="1">
      <c r="A842" s="171"/>
      <c r="B842" s="171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</row>
    <row r="843" spans="1:25" ht="15.75" customHeight="1">
      <c r="A843" s="171"/>
      <c r="B843" s="171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</row>
    <row r="844" spans="1:25" ht="15.75" customHeight="1">
      <c r="A844" s="171"/>
      <c r="B844" s="171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</row>
    <row r="845" spans="1:25" ht="15.75" customHeight="1">
      <c r="A845" s="171"/>
      <c r="B845" s="171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</row>
    <row r="846" spans="1:25" ht="15.75" customHeight="1">
      <c r="A846" s="171"/>
      <c r="B846" s="171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</row>
    <row r="847" spans="1:25" ht="15.75" customHeight="1">
      <c r="A847" s="171"/>
      <c r="B847" s="171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</row>
    <row r="848" spans="1:25" ht="15.75" customHeight="1">
      <c r="A848" s="171"/>
      <c r="B848" s="171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</row>
    <row r="849" spans="1:25" ht="15.75" customHeight="1">
      <c r="A849" s="171"/>
      <c r="B849" s="171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</row>
    <row r="850" spans="1:25" ht="15.75" customHeight="1">
      <c r="A850" s="171"/>
      <c r="B850" s="171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</row>
    <row r="851" spans="1:25" ht="15.75" customHeight="1">
      <c r="A851" s="171"/>
      <c r="B851" s="171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</row>
    <row r="852" spans="1:25" ht="15.75" customHeight="1">
      <c r="A852" s="171"/>
      <c r="B852" s="171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</row>
    <row r="853" spans="1:25" ht="15.75" customHeight="1">
      <c r="A853" s="171"/>
      <c r="B853" s="171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</row>
    <row r="854" spans="1:25" ht="15.75" customHeight="1">
      <c r="A854" s="171"/>
      <c r="B854" s="171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</row>
    <row r="855" spans="1:25" ht="15.75" customHeight="1">
      <c r="A855" s="171"/>
      <c r="B855" s="171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</row>
    <row r="856" spans="1:25" ht="15.75" customHeight="1">
      <c r="A856" s="171"/>
      <c r="B856" s="171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</row>
    <row r="857" spans="1:25" ht="15.75" customHeight="1">
      <c r="A857" s="171"/>
      <c r="B857" s="171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</row>
    <row r="858" spans="1:25" ht="15.75" customHeight="1">
      <c r="A858" s="171"/>
      <c r="B858" s="171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</row>
    <row r="859" spans="1:25" ht="15.75" customHeight="1">
      <c r="A859" s="171"/>
      <c r="B859" s="171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</row>
    <row r="860" spans="1:25" ht="15.75" customHeight="1">
      <c r="A860" s="171"/>
      <c r="B860" s="171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</row>
    <row r="861" spans="1:25" ht="15.75" customHeight="1">
      <c r="A861" s="171"/>
      <c r="B861" s="171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</row>
    <row r="862" spans="1:25" ht="15.75" customHeight="1">
      <c r="A862" s="171"/>
      <c r="B862" s="171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</row>
    <row r="863" spans="1:25" ht="15.75" customHeight="1">
      <c r="A863" s="171"/>
      <c r="B863" s="171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</row>
    <row r="864" spans="1:25" ht="15.75" customHeight="1">
      <c r="A864" s="171"/>
      <c r="B864" s="171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</row>
    <row r="865" spans="1:25" ht="15.75" customHeight="1">
      <c r="A865" s="171"/>
      <c r="B865" s="171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</row>
    <row r="866" spans="1:25" ht="15.75" customHeight="1">
      <c r="A866" s="171"/>
      <c r="B866" s="171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</row>
    <row r="867" spans="1:25" ht="15.75" customHeight="1">
      <c r="A867" s="171"/>
      <c r="B867" s="171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</row>
    <row r="868" spans="1:25" ht="15.75" customHeight="1">
      <c r="A868" s="171"/>
      <c r="B868" s="171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</row>
    <row r="869" spans="1:25" ht="15.75" customHeight="1">
      <c r="A869" s="171"/>
      <c r="B869" s="171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</row>
    <row r="870" spans="1:25" ht="15.75" customHeight="1">
      <c r="A870" s="171"/>
      <c r="B870" s="171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</row>
    <row r="871" spans="1:25" ht="15.75" customHeight="1">
      <c r="A871" s="171"/>
      <c r="B871" s="171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</row>
    <row r="872" spans="1:25" ht="15.75" customHeight="1">
      <c r="A872" s="171"/>
      <c r="B872" s="171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</row>
    <row r="873" spans="1:25" ht="15.75" customHeight="1">
      <c r="A873" s="171"/>
      <c r="B873" s="171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</row>
    <row r="874" spans="1:25" ht="15.75" customHeight="1">
      <c r="A874" s="171"/>
      <c r="B874" s="171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</row>
    <row r="875" spans="1:25" ht="15.75" customHeight="1">
      <c r="A875" s="171"/>
      <c r="B875" s="171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</row>
    <row r="876" spans="1:25" ht="15.75" customHeight="1">
      <c r="A876" s="171"/>
      <c r="B876" s="171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</row>
    <row r="877" spans="1:25" ht="15.75" customHeight="1">
      <c r="A877" s="171"/>
      <c r="B877" s="171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</row>
    <row r="878" spans="1:25" ht="15.75" customHeight="1">
      <c r="A878" s="171"/>
      <c r="B878" s="171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</row>
    <row r="879" spans="1:25" ht="15.75" customHeight="1">
      <c r="A879" s="171"/>
      <c r="B879" s="171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</row>
    <row r="880" spans="1:25" ht="15.75" customHeight="1">
      <c r="A880" s="171"/>
      <c r="B880" s="171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</row>
    <row r="881" spans="1:25" ht="15.75" customHeight="1">
      <c r="A881" s="171"/>
      <c r="B881" s="171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</row>
    <row r="882" spans="1:25" ht="15.75" customHeight="1">
      <c r="A882" s="171"/>
      <c r="B882" s="171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</row>
    <row r="883" spans="1:25" ht="15.75" customHeight="1">
      <c r="A883" s="171"/>
      <c r="B883" s="171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</row>
    <row r="884" spans="1:25" ht="15.75" customHeight="1">
      <c r="A884" s="171"/>
      <c r="B884" s="171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</row>
    <row r="885" spans="1:25" ht="15.75" customHeight="1">
      <c r="A885" s="171"/>
      <c r="B885" s="171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</row>
    <row r="886" spans="1:25" ht="15.75" customHeight="1">
      <c r="A886" s="171"/>
      <c r="B886" s="171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</row>
    <row r="887" spans="1:25" ht="15.75" customHeight="1">
      <c r="A887" s="171"/>
      <c r="B887" s="171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</row>
    <row r="888" spans="1:25" ht="15.75" customHeight="1">
      <c r="A888" s="171"/>
      <c r="B888" s="171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</row>
    <row r="889" spans="1:25" ht="15.75" customHeight="1">
      <c r="A889" s="171"/>
      <c r="B889" s="171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</row>
    <row r="890" spans="1:25" ht="15.75" customHeight="1">
      <c r="A890" s="171"/>
      <c r="B890" s="171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</row>
    <row r="891" spans="1:25" ht="15.75" customHeight="1">
      <c r="A891" s="171"/>
      <c r="B891" s="171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</row>
    <row r="892" spans="1:25" ht="15.75" customHeight="1">
      <c r="A892" s="171"/>
      <c r="B892" s="171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</row>
    <row r="893" spans="1:25" ht="15.75" customHeight="1">
      <c r="A893" s="171"/>
      <c r="B893" s="171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</row>
    <row r="894" spans="1:25" ht="15.75" customHeight="1">
      <c r="A894" s="171"/>
      <c r="B894" s="171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</row>
    <row r="895" spans="1:25" ht="15.75" customHeight="1">
      <c r="A895" s="171"/>
      <c r="B895" s="171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</row>
    <row r="896" spans="1:25" ht="15.75" customHeight="1">
      <c r="A896" s="171"/>
      <c r="B896" s="171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</row>
    <row r="897" spans="1:25" ht="15.75" customHeight="1">
      <c r="A897" s="171"/>
      <c r="B897" s="171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</row>
    <row r="898" spans="1:25" ht="15.75" customHeight="1">
      <c r="A898" s="171"/>
      <c r="B898" s="171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</row>
    <row r="899" spans="1:25" ht="15.75" customHeight="1">
      <c r="A899" s="171"/>
      <c r="B899" s="171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</row>
    <row r="900" spans="1:25" ht="15.75" customHeight="1">
      <c r="A900" s="171"/>
      <c r="B900" s="171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</row>
    <row r="901" spans="1:25" ht="15.75" customHeight="1">
      <c r="A901" s="171"/>
      <c r="B901" s="171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</row>
    <row r="902" spans="1:25" ht="15.75" customHeight="1">
      <c r="A902" s="171"/>
      <c r="B902" s="171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</row>
    <row r="903" spans="1:25" ht="15.75" customHeight="1">
      <c r="A903" s="171"/>
      <c r="B903" s="171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</row>
    <row r="904" spans="1:25" ht="15.75" customHeight="1">
      <c r="A904" s="171"/>
      <c r="B904" s="171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</row>
    <row r="905" spans="1:25" ht="15.75" customHeight="1">
      <c r="A905" s="171"/>
      <c r="B905" s="171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</row>
    <row r="906" spans="1:25" ht="15.75" customHeight="1">
      <c r="A906" s="171"/>
      <c r="B906" s="171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</row>
    <row r="907" spans="1:25" ht="15.75" customHeight="1">
      <c r="A907" s="171"/>
      <c r="B907" s="171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</row>
    <row r="908" spans="1:25" ht="15.75" customHeight="1">
      <c r="A908" s="171"/>
      <c r="B908" s="171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</row>
    <row r="909" spans="1:25" ht="15.75" customHeight="1">
      <c r="A909" s="171"/>
      <c r="B909" s="171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</row>
    <row r="910" spans="1:25" ht="15.75" customHeight="1">
      <c r="A910" s="171"/>
      <c r="B910" s="171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</row>
    <row r="911" spans="1:25" ht="15.75" customHeight="1">
      <c r="A911" s="171"/>
      <c r="B911" s="171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</row>
    <row r="912" spans="1:25" ht="15.75" customHeight="1">
      <c r="A912" s="171"/>
      <c r="B912" s="171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</row>
    <row r="913" spans="1:25" ht="15.75" customHeight="1">
      <c r="A913" s="171"/>
      <c r="B913" s="171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</row>
    <row r="914" spans="1:25" ht="15.75" customHeight="1">
      <c r="A914" s="171"/>
      <c r="B914" s="171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</row>
    <row r="915" spans="1:25" ht="15.75" customHeight="1">
      <c r="A915" s="171"/>
      <c r="B915" s="171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</row>
    <row r="916" spans="1:25" ht="15.75" customHeight="1">
      <c r="A916" s="171"/>
      <c r="B916" s="171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</row>
    <row r="917" spans="1:25" ht="15.75" customHeight="1">
      <c r="A917" s="171"/>
      <c r="B917" s="171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</row>
    <row r="918" spans="1:25" ht="15.75" customHeight="1">
      <c r="A918" s="171"/>
      <c r="B918" s="171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</row>
    <row r="919" spans="1:25" ht="15.75" customHeight="1">
      <c r="A919" s="171"/>
      <c r="B919" s="171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</row>
    <row r="920" spans="1:25" ht="15.75" customHeight="1">
      <c r="A920" s="171"/>
      <c r="B920" s="171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</row>
    <row r="921" spans="1:25" ht="15.75" customHeight="1">
      <c r="A921" s="171"/>
      <c r="B921" s="171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</row>
    <row r="922" spans="1:25" ht="15.75" customHeight="1">
      <c r="A922" s="171"/>
      <c r="B922" s="171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</row>
    <row r="923" spans="1:25" ht="15.75" customHeight="1">
      <c r="A923" s="171"/>
      <c r="B923" s="171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</row>
    <row r="924" spans="1:25" ht="15.75" customHeight="1">
      <c r="A924" s="171"/>
      <c r="B924" s="171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</row>
    <row r="925" spans="1:25" ht="15.75" customHeight="1">
      <c r="A925" s="171"/>
      <c r="B925" s="171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</row>
    <row r="926" spans="1:25" ht="15.75" customHeight="1">
      <c r="A926" s="171"/>
      <c r="B926" s="171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</row>
    <row r="927" spans="1:25" ht="15.75" customHeight="1">
      <c r="A927" s="171"/>
      <c r="B927" s="171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</row>
    <row r="928" spans="1:25" ht="15.75" customHeight="1">
      <c r="A928" s="171"/>
      <c r="B928" s="171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</row>
    <row r="929" spans="1:25" ht="15.75" customHeight="1">
      <c r="A929" s="171"/>
      <c r="B929" s="171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</row>
    <row r="930" spans="1:25" ht="15.75" customHeight="1">
      <c r="A930" s="171"/>
      <c r="B930" s="171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</row>
    <row r="931" spans="1:25" ht="15.75" customHeight="1">
      <c r="A931" s="171"/>
      <c r="B931" s="171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</row>
    <row r="932" spans="1:25" ht="15.75" customHeight="1">
      <c r="A932" s="171"/>
      <c r="B932" s="171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</row>
    <row r="933" spans="1:25" ht="15.75" customHeight="1">
      <c r="A933" s="171"/>
      <c r="B933" s="171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</row>
    <row r="934" spans="1:25" ht="15.75" customHeight="1">
      <c r="A934" s="171"/>
      <c r="B934" s="171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</row>
    <row r="935" spans="1:25" ht="15.75" customHeight="1">
      <c r="A935" s="171"/>
      <c r="B935" s="171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</row>
    <row r="936" spans="1:25" ht="15.75" customHeight="1">
      <c r="A936" s="171"/>
      <c r="B936" s="171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</row>
    <row r="937" spans="1:25" ht="15.75" customHeight="1">
      <c r="A937" s="171"/>
      <c r="B937" s="171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</row>
    <row r="938" spans="1:25" ht="15.75" customHeight="1">
      <c r="A938" s="171"/>
      <c r="B938" s="171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</row>
    <row r="939" spans="1:25" ht="15.75" customHeight="1">
      <c r="A939" s="171"/>
      <c r="B939" s="171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</row>
    <row r="940" spans="1:25" ht="15.75" customHeight="1">
      <c r="A940" s="171"/>
      <c r="B940" s="171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</row>
    <row r="941" spans="1:25" ht="15.75" customHeight="1">
      <c r="A941" s="171"/>
      <c r="B941" s="171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</row>
    <row r="942" spans="1:25" ht="15.75" customHeight="1">
      <c r="A942" s="171"/>
      <c r="B942" s="171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</row>
    <row r="943" spans="1:25" ht="15.75" customHeight="1">
      <c r="A943" s="171"/>
      <c r="B943" s="171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</row>
    <row r="944" spans="1:25" ht="15.75" customHeight="1">
      <c r="A944" s="171"/>
      <c r="B944" s="171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</row>
    <row r="945" spans="1:25" ht="15.75" customHeight="1">
      <c r="A945" s="171"/>
      <c r="B945" s="171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</row>
    <row r="946" spans="1:25" ht="15.75" customHeight="1">
      <c r="A946" s="171"/>
      <c r="B946" s="171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</row>
    <row r="947" spans="1:25" ht="15.75" customHeight="1">
      <c r="A947" s="171"/>
      <c r="B947" s="171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</row>
    <row r="948" spans="1:25" ht="15.75" customHeight="1">
      <c r="A948" s="171"/>
      <c r="B948" s="171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</row>
    <row r="949" spans="1:25" ht="15.75" customHeight="1">
      <c r="A949" s="171"/>
      <c r="B949" s="171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</row>
    <row r="950" spans="1:25" ht="15.75" customHeight="1">
      <c r="A950" s="171"/>
      <c r="B950" s="171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</row>
    <row r="951" spans="1:25" ht="15.75" customHeight="1">
      <c r="A951" s="171"/>
      <c r="B951" s="171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</row>
    <row r="952" spans="1:25" ht="15.75" customHeight="1">
      <c r="A952" s="171"/>
      <c r="B952" s="171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</row>
    <row r="953" spans="1:25" ht="15.75" customHeight="1">
      <c r="A953" s="171"/>
      <c r="B953" s="171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</row>
    <row r="954" spans="1:25" ht="15.75" customHeight="1">
      <c r="A954" s="171"/>
      <c r="B954" s="171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</row>
    <row r="955" spans="1:25" ht="15.75" customHeight="1">
      <c r="A955" s="171"/>
      <c r="B955" s="171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</row>
    <row r="956" spans="1:25" ht="15.75" customHeight="1">
      <c r="A956" s="171"/>
      <c r="B956" s="171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</row>
    <row r="957" spans="1:25" ht="15.75" customHeight="1">
      <c r="A957" s="171"/>
      <c r="B957" s="171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</row>
    <row r="958" spans="1:25" ht="15.75" customHeight="1">
      <c r="A958" s="171"/>
      <c r="B958" s="171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</row>
    <row r="959" spans="1:25" ht="15.75" customHeight="1">
      <c r="A959" s="171"/>
      <c r="B959" s="171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</row>
    <row r="960" spans="1:25" ht="15.75" customHeight="1"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</row>
    <row r="961" spans="6:25" ht="15.75" customHeight="1"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</row>
    <row r="962" spans="6:25" ht="15.75" customHeight="1"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</row>
  </sheetData>
  <autoFilter ref="A1:E3" xr:uid="{00000000-0009-0000-0000-000003000000}"/>
  <customSheetViews>
    <customSheetView guid="{60527C34-A1EA-4DFE-985A-D006A87C66A5}" filter="1" showAutoFilter="1">
      <pageMargins left="0.7" right="0.7" top="0.75" bottom="0.75" header="0.3" footer="0.3"/>
      <autoFilter ref="A1:E85" xr:uid="{B02637AD-B17E-49BD-B436-2949826AE653}"/>
    </customSheetView>
  </customSheetViews>
  <pageMargins left="0.7" right="0.7" top="0.75" bottom="0.75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00"/>
  <sheetViews>
    <sheetView showGridLines="0" workbookViewId="0"/>
  </sheetViews>
  <sheetFormatPr defaultColWidth="14.42578125" defaultRowHeight="15" customHeight="1"/>
  <cols>
    <col min="1" max="1" width="31.85546875" customWidth="1"/>
    <col min="2" max="2" width="9.140625" customWidth="1"/>
    <col min="3" max="3" width="7.7109375" customWidth="1"/>
    <col min="4" max="6" width="9.140625" customWidth="1"/>
    <col min="7" max="23" width="8.7109375" customWidth="1"/>
  </cols>
  <sheetData>
    <row r="1" spans="1:23" ht="13.5" customHeight="1">
      <c r="A1" s="82" t="s">
        <v>690</v>
      </c>
      <c r="B1" s="82" t="s">
        <v>749</v>
      </c>
      <c r="C1" s="82" t="s">
        <v>750</v>
      </c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</row>
    <row r="2" spans="1:23" ht="13.5" customHeight="1">
      <c r="A2" s="82" t="s">
        <v>751</v>
      </c>
      <c r="B2" s="172">
        <v>4500</v>
      </c>
      <c r="C2" s="172">
        <v>1700</v>
      </c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</row>
    <row r="3" spans="1:23" ht="13.5" customHeight="1">
      <c r="A3" s="82" t="s">
        <v>699</v>
      </c>
      <c r="B3" s="172">
        <v>4500</v>
      </c>
      <c r="C3" s="172">
        <v>1700</v>
      </c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</row>
    <row r="4" spans="1:23" ht="13.5" customHeight="1">
      <c r="A4" s="82" t="s">
        <v>728</v>
      </c>
      <c r="B4" s="172">
        <v>4500</v>
      </c>
      <c r="C4" s="172">
        <v>1700</v>
      </c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</row>
    <row r="5" spans="1:23" ht="13.5" customHeight="1">
      <c r="A5" s="82" t="s">
        <v>702</v>
      </c>
      <c r="B5" s="172">
        <v>5000</v>
      </c>
      <c r="C5" s="172">
        <v>1700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</row>
    <row r="6" spans="1:23" ht="13.5" customHeight="1">
      <c r="A6" s="82" t="s">
        <v>707</v>
      </c>
      <c r="B6" s="173">
        <v>5000</v>
      </c>
      <c r="C6" s="172">
        <v>1700</v>
      </c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</row>
    <row r="7" spans="1:23" ht="13.5" customHeight="1">
      <c r="A7" s="82" t="s">
        <v>752</v>
      </c>
      <c r="B7" s="173">
        <v>5500</v>
      </c>
      <c r="C7" s="172">
        <v>1700</v>
      </c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</row>
    <row r="8" spans="1:23" ht="13.5" customHeight="1">
      <c r="A8" s="82" t="s">
        <v>753</v>
      </c>
      <c r="B8" s="173">
        <v>5500</v>
      </c>
      <c r="C8" s="172">
        <v>1700</v>
      </c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</row>
    <row r="9" spans="1:23" ht="13.5" customHeight="1">
      <c r="A9" s="82" t="s">
        <v>754</v>
      </c>
      <c r="B9" s="173">
        <v>5500</v>
      </c>
      <c r="C9" s="172">
        <v>1700</v>
      </c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</row>
    <row r="10" spans="1:23" ht="13.5" customHeight="1">
      <c r="A10" s="82" t="s">
        <v>755</v>
      </c>
      <c r="B10" s="173">
        <v>5500</v>
      </c>
      <c r="C10" s="172">
        <v>1700</v>
      </c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</row>
    <row r="11" spans="1:23" ht="13.5" customHeight="1">
      <c r="A11" s="104" t="s">
        <v>756</v>
      </c>
      <c r="B11" s="173">
        <v>5500</v>
      </c>
      <c r="C11" s="172">
        <v>1700</v>
      </c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</row>
    <row r="12" spans="1:23" ht="13.5" customHeight="1">
      <c r="A12" s="174" t="s">
        <v>757</v>
      </c>
      <c r="B12" s="173">
        <v>5500</v>
      </c>
      <c r="C12" s="172">
        <v>1700</v>
      </c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</row>
    <row r="13" spans="1:23" ht="13.5" customHeight="1">
      <c r="A13" s="104" t="s">
        <v>758</v>
      </c>
      <c r="B13" s="173">
        <v>5500</v>
      </c>
      <c r="C13" s="172">
        <v>1700</v>
      </c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</row>
    <row r="14" spans="1:23" ht="13.5" customHeight="1">
      <c r="A14" s="82" t="s">
        <v>718</v>
      </c>
      <c r="B14" s="173">
        <v>6000</v>
      </c>
      <c r="C14" s="172">
        <v>1700</v>
      </c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</row>
    <row r="15" spans="1:23" ht="13.5" customHeight="1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</row>
    <row r="16" spans="1:23" ht="13.5" customHeight="1">
      <c r="A16" s="121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</row>
    <row r="17" spans="1:23" ht="13.5" customHeight="1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</row>
    <row r="18" spans="1:23" ht="13.5" customHeight="1">
      <c r="A18" s="121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</row>
    <row r="19" spans="1:23" ht="13.5" customHeight="1">
      <c r="A19" s="121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</row>
    <row r="20" spans="1:23" ht="13.5" customHeight="1">
      <c r="A20" s="121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</row>
    <row r="21" spans="1:23" ht="13.5" customHeight="1">
      <c r="A21" s="121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</row>
    <row r="22" spans="1:23" ht="13.5" customHeight="1">
      <c r="A22" s="121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</row>
    <row r="23" spans="1:23" ht="13.5" customHeight="1">
      <c r="A23" s="121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</row>
    <row r="24" spans="1:23" ht="13.5" customHeight="1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</row>
    <row r="25" spans="1:23" ht="13.5" customHeight="1">
      <c r="A25" s="121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</row>
    <row r="26" spans="1:23" ht="13.5" customHeight="1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</row>
    <row r="27" spans="1:23" ht="13.5" customHeight="1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</row>
    <row r="28" spans="1:23" ht="13.5" customHeight="1">
      <c r="A28" s="121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</row>
    <row r="29" spans="1:23" ht="13.5" customHeight="1">
      <c r="A29" s="121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</row>
    <row r="30" spans="1:23" ht="13.5" customHeight="1">
      <c r="A30" s="121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</row>
    <row r="31" spans="1:23" ht="13.5" customHeight="1">
      <c r="A31" s="121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</row>
    <row r="32" spans="1:23" ht="13.5" customHeight="1">
      <c r="A32" s="121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</row>
    <row r="33" spans="1:23" ht="13.5" customHeight="1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</row>
    <row r="34" spans="1:23" ht="13.5" customHeight="1">
      <c r="A34" s="121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</row>
    <row r="35" spans="1:23" ht="13.5" customHeight="1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</row>
    <row r="36" spans="1:23" ht="13.5" customHeight="1">
      <c r="A36" s="121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</row>
    <row r="37" spans="1:23" ht="13.5" customHeight="1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</row>
    <row r="38" spans="1:23" ht="13.5" customHeight="1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</row>
    <row r="39" spans="1:23" ht="13.5" customHeight="1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</row>
    <row r="40" spans="1:23" ht="13.5" customHeight="1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</row>
    <row r="41" spans="1:23" ht="13.5" customHeight="1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</row>
    <row r="42" spans="1:23" ht="13.5" customHeight="1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</row>
    <row r="43" spans="1:23" ht="13.5" customHeight="1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</row>
    <row r="44" spans="1:23" ht="13.5" customHeight="1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</row>
    <row r="45" spans="1:23" ht="13.5" customHeight="1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</row>
    <row r="46" spans="1:23" ht="13.5" customHeight="1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</row>
    <row r="47" spans="1:23" ht="13.5" customHeight="1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</row>
    <row r="48" spans="1:23" ht="13.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</row>
    <row r="49" spans="1:23" ht="13.5" customHeight="1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</row>
    <row r="50" spans="1:23" ht="13.5" customHeight="1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</row>
    <row r="51" spans="1:23" ht="13.5" customHeight="1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</row>
    <row r="52" spans="1:23" ht="13.5" customHeight="1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</row>
    <row r="53" spans="1:23" ht="13.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</row>
    <row r="54" spans="1:23" ht="13.5" customHeight="1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</row>
    <row r="55" spans="1:23" ht="13.5" customHeight="1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</row>
    <row r="56" spans="1:23" ht="13.5" customHeight="1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</row>
    <row r="57" spans="1:23" ht="13.5" customHeight="1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</row>
    <row r="58" spans="1:23" ht="13.5" customHeight="1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</row>
    <row r="59" spans="1:23" ht="13.5" customHeight="1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</row>
    <row r="60" spans="1:23" ht="13.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</row>
    <row r="61" spans="1:23" ht="13.5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</row>
    <row r="62" spans="1:23" ht="13.5" customHeight="1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</row>
    <row r="63" spans="1:23" ht="13.5" customHeight="1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</row>
    <row r="64" spans="1:23" ht="13.5" customHeight="1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</row>
    <row r="65" spans="1:23" ht="13.5" customHeight="1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</row>
    <row r="66" spans="1:23" ht="13.5" customHeight="1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</row>
    <row r="67" spans="1:23" ht="13.5" customHeight="1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</row>
    <row r="68" spans="1:23" ht="13.5" customHeight="1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</row>
    <row r="69" spans="1:23" ht="13.5" customHeight="1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</row>
    <row r="70" spans="1:23" ht="13.5" customHeight="1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</row>
    <row r="71" spans="1:23" ht="13.5" customHeight="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</row>
    <row r="72" spans="1:23" ht="13.5" customHeight="1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</row>
    <row r="73" spans="1:23" ht="13.5" customHeight="1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</row>
    <row r="74" spans="1:23" ht="13.5" customHeight="1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</row>
    <row r="75" spans="1:23" ht="13.5" customHeight="1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</row>
    <row r="76" spans="1:23" ht="13.5" customHeight="1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</row>
    <row r="77" spans="1:23" ht="13.5" customHeight="1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</row>
    <row r="78" spans="1:23" ht="13.5" customHeight="1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</row>
    <row r="79" spans="1:23" ht="13.5" customHeight="1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</row>
    <row r="80" spans="1:23" ht="13.5" customHeight="1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</row>
    <row r="81" spans="1:23" ht="13.5" customHeight="1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</row>
    <row r="82" spans="1:23" ht="13.5" customHeight="1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</row>
    <row r="83" spans="1:23" ht="13.5" customHeight="1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</row>
    <row r="84" spans="1:23" ht="13.5" customHeight="1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</row>
    <row r="85" spans="1:23" ht="13.5" customHeight="1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</row>
    <row r="86" spans="1:23" ht="13.5" customHeight="1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</row>
    <row r="87" spans="1:23" ht="13.5" customHeight="1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</row>
    <row r="88" spans="1:23" ht="13.5" customHeight="1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</row>
    <row r="89" spans="1:23" ht="13.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</row>
    <row r="90" spans="1:23" ht="13.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</row>
    <row r="91" spans="1:23" ht="13.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</row>
    <row r="92" spans="1:23" ht="13.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</row>
    <row r="93" spans="1:23" ht="13.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</row>
    <row r="94" spans="1:23" ht="13.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</row>
    <row r="95" spans="1:23" ht="13.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</row>
    <row r="96" spans="1:23" ht="13.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</row>
    <row r="97" spans="1:23" ht="13.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</row>
    <row r="98" spans="1:23" ht="13.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</row>
    <row r="99" spans="1:23" ht="13.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</row>
    <row r="100" spans="1:23" ht="13.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</row>
    <row r="101" spans="1:23" ht="13.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</row>
    <row r="102" spans="1:23" ht="13.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</row>
    <row r="103" spans="1:23" ht="13.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</row>
    <row r="104" spans="1:23" ht="13.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</row>
    <row r="105" spans="1:23" ht="13.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</row>
    <row r="106" spans="1:23" ht="13.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</row>
    <row r="107" spans="1:23" ht="13.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</row>
    <row r="108" spans="1:23" ht="13.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</row>
    <row r="109" spans="1:23" ht="13.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</row>
    <row r="110" spans="1:23" ht="13.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</row>
    <row r="111" spans="1:23" ht="13.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</row>
    <row r="112" spans="1:23" ht="13.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</row>
    <row r="113" spans="1:23" ht="13.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</row>
    <row r="114" spans="1:23" ht="13.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</row>
    <row r="115" spans="1:23" ht="13.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</row>
    <row r="116" spans="1:23" ht="13.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</row>
    <row r="117" spans="1:23" ht="13.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</row>
    <row r="118" spans="1:23" ht="13.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</row>
    <row r="119" spans="1:23" ht="13.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</row>
    <row r="120" spans="1:23" ht="13.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</row>
    <row r="121" spans="1:23" ht="13.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</row>
    <row r="122" spans="1:23" ht="13.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</row>
    <row r="123" spans="1:23" ht="13.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</row>
    <row r="124" spans="1:23" ht="13.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</row>
    <row r="125" spans="1:23" ht="13.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</row>
    <row r="126" spans="1:23" ht="13.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</row>
    <row r="127" spans="1:23" ht="13.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</row>
    <row r="128" spans="1:23" ht="13.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</row>
    <row r="129" spans="1:23" ht="13.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</row>
    <row r="130" spans="1:23" ht="13.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</row>
    <row r="131" spans="1:23" ht="13.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</row>
    <row r="132" spans="1:23" ht="13.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</row>
    <row r="133" spans="1:23" ht="13.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</row>
    <row r="134" spans="1:23" ht="13.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</row>
    <row r="135" spans="1:23" ht="13.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</row>
    <row r="136" spans="1:23" ht="13.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</row>
    <row r="137" spans="1:23" ht="13.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</row>
    <row r="138" spans="1:23" ht="13.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</row>
    <row r="139" spans="1:23" ht="13.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</row>
    <row r="140" spans="1:23" ht="13.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</row>
    <row r="141" spans="1:23" ht="13.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</row>
    <row r="142" spans="1:23" ht="13.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</row>
    <row r="143" spans="1:23" ht="13.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</row>
    <row r="144" spans="1:23" ht="13.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</row>
    <row r="145" spans="1:23" ht="13.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</row>
    <row r="146" spans="1:23" ht="13.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</row>
    <row r="147" spans="1:23" ht="13.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</row>
    <row r="148" spans="1:23" ht="13.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</row>
    <row r="149" spans="1:23" ht="13.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</row>
    <row r="150" spans="1:23" ht="13.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</row>
    <row r="151" spans="1:23" ht="13.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</row>
    <row r="152" spans="1:23" ht="13.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</row>
    <row r="153" spans="1:23" ht="13.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</row>
    <row r="154" spans="1:23" ht="13.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</row>
    <row r="155" spans="1:23" ht="13.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</row>
    <row r="156" spans="1:23" ht="13.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</row>
    <row r="157" spans="1:23" ht="13.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</row>
    <row r="158" spans="1:23" ht="13.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</row>
    <row r="159" spans="1:23" ht="13.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</row>
    <row r="160" spans="1:23" ht="13.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</row>
    <row r="161" spans="1:23" ht="13.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</row>
    <row r="162" spans="1:23" ht="13.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</row>
    <row r="163" spans="1:23" ht="13.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</row>
    <row r="164" spans="1:23" ht="13.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</row>
    <row r="165" spans="1:23" ht="13.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</row>
    <row r="166" spans="1:23" ht="13.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</row>
    <row r="167" spans="1:23" ht="13.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</row>
    <row r="168" spans="1:23" ht="13.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</row>
    <row r="169" spans="1:23" ht="13.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</row>
    <row r="170" spans="1:23" ht="13.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</row>
    <row r="171" spans="1:23" ht="13.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</row>
    <row r="172" spans="1:23" ht="13.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</row>
    <row r="173" spans="1:23" ht="13.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</row>
    <row r="174" spans="1:23" ht="13.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</row>
    <row r="175" spans="1:23" ht="13.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</row>
    <row r="176" spans="1:23" ht="13.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</row>
    <row r="177" spans="1:23" ht="13.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</row>
    <row r="178" spans="1:23" ht="13.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</row>
    <row r="179" spans="1:23" ht="13.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</row>
    <row r="180" spans="1:23" ht="13.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</row>
    <row r="181" spans="1:23" ht="13.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</row>
    <row r="182" spans="1:23" ht="13.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</row>
    <row r="183" spans="1:23" ht="13.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</row>
    <row r="184" spans="1:23" ht="13.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</row>
    <row r="185" spans="1:23" ht="13.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</row>
    <row r="186" spans="1:23" ht="13.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</row>
    <row r="187" spans="1:23" ht="13.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</row>
    <row r="188" spans="1:23" ht="13.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</row>
    <row r="189" spans="1:23" ht="13.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</row>
    <row r="190" spans="1:23" ht="13.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</row>
    <row r="191" spans="1:23" ht="13.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</row>
    <row r="192" spans="1:23" ht="13.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</row>
    <row r="193" spans="1:23" ht="13.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</row>
    <row r="194" spans="1:23" ht="13.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</row>
    <row r="195" spans="1:23" ht="13.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</row>
    <row r="196" spans="1:23" ht="13.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</row>
    <row r="197" spans="1:23" ht="13.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</row>
    <row r="198" spans="1:23" ht="13.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</row>
    <row r="199" spans="1:23" ht="13.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</row>
    <row r="200" spans="1:23" ht="13.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</row>
    <row r="201" spans="1:23" ht="13.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</row>
    <row r="202" spans="1:23" ht="13.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</row>
    <row r="203" spans="1:23" ht="13.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</row>
    <row r="204" spans="1:23" ht="13.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</row>
    <row r="205" spans="1:23" ht="13.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</row>
    <row r="206" spans="1:23" ht="13.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</row>
    <row r="207" spans="1:23" ht="13.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</row>
    <row r="208" spans="1:23" ht="13.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</row>
    <row r="209" spans="1:23" ht="13.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</row>
    <row r="210" spans="1:23" ht="13.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</row>
    <row r="211" spans="1:23" ht="13.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</row>
    <row r="212" spans="1:23" ht="13.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</row>
    <row r="213" spans="1:23" ht="13.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</row>
    <row r="214" spans="1:23" ht="13.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</row>
    <row r="215" spans="1:23" ht="13.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</row>
    <row r="216" spans="1:23" ht="13.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</row>
    <row r="217" spans="1:23" ht="13.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</row>
    <row r="218" spans="1:23" ht="13.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</row>
    <row r="219" spans="1:23" ht="13.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</row>
    <row r="220" spans="1:23" ht="13.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</row>
    <row r="221" spans="1:23" ht="15.75" customHeight="1"/>
    <row r="222" spans="1:23" ht="15.75" customHeight="1"/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14" xr:uid="{00000000-0009-0000-0000-000004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Отдел Продаж МП  </vt:lpstr>
      <vt:lpstr>Свод для печати</vt:lpstr>
      <vt:lpstr>Расстояние между городами</vt:lpstr>
      <vt:lpstr>Инфо</vt:lpstr>
      <vt:lpstr>Суточные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Горельский Евгений А.</cp:lastModifiedBy>
  <dcterms:modified xsi:type="dcterms:W3CDTF">2025-11-19T14:09:48Z</dcterms:modified>
</cp:coreProperties>
</file>